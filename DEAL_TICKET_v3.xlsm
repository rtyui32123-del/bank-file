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C:\Users\rtyui\Desktop\"/>
    </mc:Choice>
  </mc:AlternateContent>
  <xr:revisionPtr revIDLastSave="0" documentId="13_ncr:1_{8185BDE1-3E57-46A0-8521-6263CC65C6D7}" xr6:coauthVersionLast="47" xr6:coauthVersionMax="47" xr10:uidLastSave="{00000000-0000-0000-0000-000000000000}"/>
  <bookViews>
    <workbookView xWindow="-110" yWindow="-110" windowWidth="19420" windowHeight="10300" tabRatio="500" firstSheet="7" xr2:uid="{00000000-000D-0000-FFFF-FFFF00000000}"/>
  </bookViews>
  <sheets>
    <sheet name="딜티켓 " sheetId="1" r:id="rId1"/>
    <sheet name="컨펌지(일반)" sheetId="2" r:id="rId2"/>
    <sheet name="컨펌지(수식적용)" sheetId="3" r:id="rId3"/>
    <sheet name="컨펌지(롤오버)" sheetId="4" r:id="rId4"/>
    <sheet name="컨펌지(언와인딩)" sheetId="5" r:id="rId5"/>
    <sheet name="유진자산운용(언와인딩)" sheetId="6" r:id="rId6"/>
    <sheet name="컨펌1-A" sheetId="7" r:id="rId7"/>
    <sheet name="컨펌지(수식미적용)" sheetId="8" r:id="rId8"/>
    <sheet name="컨펌1-A (2)" sheetId="9" state="hidden" r:id="rId9"/>
    <sheet name="컨펌1-B" sheetId="10" state="hidden" r:id="rId10"/>
    <sheet name="펀드목록" sheetId="11" r:id="rId11"/>
    <sheet name="Sheet1" sheetId="12" r:id="rId12"/>
    <sheet name="고객목록" sheetId="13" r:id="rId13"/>
    <sheet name="운용사목록" sheetId="14" r:id="rId14"/>
    <sheet name="우리" sheetId="15" r:id="rId15"/>
  </sheets>
  <definedNames>
    <definedName name="_xlfn_IFERROR">none</definedName>
    <definedName name="Excel_BuiltIn__FilterDatabase" localSheetId="3">'컨펌지(롤오버)'!$I$11:$I$22</definedName>
    <definedName name="Excel_BuiltIn__FilterDatabase" localSheetId="7">'컨펌지(수식미적용)'!$I$12:$I$23</definedName>
    <definedName name="Excel_BuiltIn__FilterDatabase" localSheetId="2">'컨펌지(수식적용)'!$I$12:$I$23</definedName>
    <definedName name="Excel_BuiltIn__FilterDatabase" localSheetId="4">'컨펌지(언와인딩)'!$I$11:$I$22</definedName>
    <definedName name="Excel_BuiltIn_Extract" localSheetId="3">'컨펌지(롤오버)'!$I$24</definedName>
    <definedName name="Excel_BuiltIn_Extract" localSheetId="7">'컨펌지(수식미적용)'!$I$25</definedName>
    <definedName name="Excel_BuiltIn_Extract" localSheetId="2">'컨펌지(수식적용)'!$I$25</definedName>
    <definedName name="Excel_BuiltIn_Extract" localSheetId="4">'컨펌지(언와인딩)'!$I$24</definedName>
    <definedName name="_xlnm.Print_Area" localSheetId="0">'딜티켓 '!$A$1:$L$56</definedName>
    <definedName name="_xlnm.Print_Area" localSheetId="3">'컨펌지(롤오버)'!$A$1:$I$43</definedName>
    <definedName name="_xlnm.Print_Area" localSheetId="7">'컨펌지(수식미적용)'!$A$1:$H$38</definedName>
    <definedName name="_xlnm.Print_Area" localSheetId="2">'컨펌지(수식적용)'!$A$1:$I$38</definedName>
    <definedName name="_xlnm.Print_Area" localSheetId="4">'컨펌지(언와인딩)'!$A$1:$I$48</definedName>
    <definedName name="_xlnm.Print_Area" localSheetId="1">'컨펌지(일반)'!$A$1:$J$36</definedName>
  </definedNames>
  <calcPr calcId="18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16" i="10" l="1"/>
  <c r="F16" i="10"/>
  <c r="D16" i="10"/>
  <c r="C16" i="10"/>
  <c r="A16" i="10"/>
  <c r="G15" i="10"/>
  <c r="F15" i="10"/>
  <c r="D15" i="10"/>
  <c r="C15" i="10"/>
  <c r="A15" i="10"/>
  <c r="G14" i="10"/>
  <c r="F14" i="10"/>
  <c r="D14" i="10"/>
  <c r="C14" i="10"/>
  <c r="A14" i="10"/>
  <c r="G13" i="10"/>
  <c r="F13" i="10"/>
  <c r="D13" i="10"/>
  <c r="C13" i="10"/>
  <c r="A13" i="10"/>
  <c r="G12" i="10"/>
  <c r="F12" i="10"/>
  <c r="D12" i="10"/>
  <c r="C12" i="10"/>
  <c r="A12" i="10"/>
  <c r="G11" i="10"/>
  <c r="F11" i="10"/>
  <c r="D11" i="10"/>
  <c r="C11" i="10"/>
  <c r="A11" i="10"/>
  <c r="G8" i="10"/>
  <c r="I22" i="9"/>
  <c r="G22" i="9"/>
  <c r="F22" i="9"/>
  <c r="E22" i="9"/>
  <c r="D22" i="9"/>
  <c r="C22" i="9"/>
  <c r="B22" i="9"/>
  <c r="A22" i="9"/>
  <c r="G21" i="9"/>
  <c r="E21" i="9"/>
  <c r="B21" i="9"/>
  <c r="A21" i="9"/>
  <c r="G20" i="9"/>
  <c r="E20" i="9"/>
  <c r="B20" i="9"/>
  <c r="A20" i="9"/>
  <c r="G19" i="9"/>
  <c r="E19" i="9"/>
  <c r="B19" i="9"/>
  <c r="A19" i="9"/>
  <c r="G18" i="9"/>
  <c r="E18" i="9"/>
  <c r="B18" i="9"/>
  <c r="A18" i="9"/>
  <c r="G17" i="9"/>
  <c r="E17" i="9"/>
  <c r="B17" i="9"/>
  <c r="A17" i="9"/>
  <c r="G16" i="9"/>
  <c r="E16" i="9"/>
  <c r="B16" i="9"/>
  <c r="A16" i="9"/>
  <c r="G15" i="9"/>
  <c r="E15" i="9"/>
  <c r="B15" i="9"/>
  <c r="A15" i="9"/>
  <c r="G14" i="9"/>
  <c r="E14" i="9"/>
  <c r="B14" i="9"/>
  <c r="A14" i="9"/>
  <c r="G13" i="9"/>
  <c r="E13" i="9"/>
  <c r="B13" i="9"/>
  <c r="A13" i="9"/>
  <c r="G12" i="9"/>
  <c r="E12" i="9"/>
  <c r="C12" i="9"/>
  <c r="B12" i="9"/>
  <c r="A12" i="9"/>
  <c r="G11" i="9"/>
  <c r="F11" i="9"/>
  <c r="E11" i="9"/>
  <c r="B11" i="9"/>
  <c r="A11" i="9"/>
  <c r="G8" i="9"/>
  <c r="A25" i="8"/>
  <c r="H9" i="8"/>
  <c r="C5" i="8"/>
  <c r="A27" i="8" s="1"/>
  <c r="F53" i="7"/>
  <c r="F50" i="7"/>
  <c r="I22" i="7"/>
  <c r="G22" i="7"/>
  <c r="F22" i="7"/>
  <c r="E22" i="7"/>
  <c r="D22" i="7"/>
  <c r="C22" i="7"/>
  <c r="B22" i="7"/>
  <c r="A22" i="7"/>
  <c r="C22" i="5" s="1"/>
  <c r="G21" i="7"/>
  <c r="E21" i="7"/>
  <c r="B21" i="7"/>
  <c r="A21" i="7"/>
  <c r="C21" i="5" s="1"/>
  <c r="G20" i="7"/>
  <c r="E20" i="7"/>
  <c r="B20" i="7"/>
  <c r="A20" i="7"/>
  <c r="D20" i="5" s="1"/>
  <c r="G19" i="7"/>
  <c r="E19" i="7"/>
  <c r="B19" i="7"/>
  <c r="A19" i="7"/>
  <c r="D19" i="5" s="1"/>
  <c r="G18" i="7"/>
  <c r="E18" i="7"/>
  <c r="B18" i="7"/>
  <c r="A18" i="7"/>
  <c r="E18" i="5" s="1"/>
  <c r="G17" i="7"/>
  <c r="E17" i="7"/>
  <c r="B17" i="7"/>
  <c r="A17" i="7"/>
  <c r="E17" i="5" s="1"/>
  <c r="G16" i="7"/>
  <c r="E16" i="7"/>
  <c r="B16" i="7"/>
  <c r="A16" i="7"/>
  <c r="F16" i="5" s="1"/>
  <c r="G15" i="7"/>
  <c r="E15" i="7"/>
  <c r="B15" i="7"/>
  <c r="A15" i="7"/>
  <c r="F15" i="5" s="1"/>
  <c r="G14" i="7"/>
  <c r="E14" i="7"/>
  <c r="B14" i="7"/>
  <c r="A14" i="7"/>
  <c r="E14" i="6" s="1"/>
  <c r="G13" i="7"/>
  <c r="E13" i="7"/>
  <c r="B13" i="7"/>
  <c r="A13" i="7"/>
  <c r="G12" i="7"/>
  <c r="E12" i="7"/>
  <c r="C12" i="7"/>
  <c r="B12" i="7"/>
  <c r="A12" i="7"/>
  <c r="G13" i="3" s="1"/>
  <c r="G11" i="7"/>
  <c r="F11" i="7"/>
  <c r="E11" i="7"/>
  <c r="B11" i="7"/>
  <c r="A11" i="7"/>
  <c r="A11" i="5" s="1"/>
  <c r="G8" i="7"/>
  <c r="G17" i="6"/>
  <c r="H8" i="6"/>
  <c r="A36" i="5"/>
  <c r="C34" i="5"/>
  <c r="A34" i="5"/>
  <c r="C33" i="5"/>
  <c r="A33" i="5"/>
  <c r="C32" i="5"/>
  <c r="A32" i="5"/>
  <c r="A31" i="5"/>
  <c r="H25" i="5"/>
  <c r="G25" i="5"/>
  <c r="N24" i="5"/>
  <c r="L26" i="5" s="1"/>
  <c r="L22" i="5"/>
  <c r="I22" i="5"/>
  <c r="D22" i="5"/>
  <c r="N20" i="5"/>
  <c r="E20" i="5"/>
  <c r="L18" i="5"/>
  <c r="F18" i="5"/>
  <c r="N16" i="5"/>
  <c r="G16" i="5"/>
  <c r="N12" i="5"/>
  <c r="L14" i="5" s="1"/>
  <c r="C31" i="5" s="1"/>
  <c r="I8" i="5"/>
  <c r="C5" i="5"/>
  <c r="E9" i="5" s="1"/>
  <c r="A34" i="4"/>
  <c r="A32" i="4"/>
  <c r="I22" i="4"/>
  <c r="L14" i="4"/>
  <c r="A14" i="4"/>
  <c r="N12" i="4"/>
  <c r="E9" i="4"/>
  <c r="B9" i="4"/>
  <c r="I8" i="4"/>
  <c r="A25" i="3"/>
  <c r="I23" i="3"/>
  <c r="G23" i="3"/>
  <c r="G21" i="3"/>
  <c r="G19" i="3"/>
  <c r="G17" i="3"/>
  <c r="G15" i="3"/>
  <c r="I9" i="3"/>
  <c r="C5" i="3"/>
  <c r="E10" i="3" s="1"/>
  <c r="I24" i="2"/>
  <c r="G24" i="2"/>
  <c r="F24" i="2"/>
  <c r="E24" i="2"/>
  <c r="D24" i="2"/>
  <c r="C24" i="2"/>
  <c r="B24" i="2"/>
  <c r="A24" i="2"/>
  <c r="I23" i="2"/>
  <c r="G23" i="2"/>
  <c r="F23" i="2"/>
  <c r="E23" i="2"/>
  <c r="D23" i="2"/>
  <c r="C23" i="2"/>
  <c r="B23" i="2"/>
  <c r="A23" i="2"/>
  <c r="I22" i="2"/>
  <c r="G22" i="2"/>
  <c r="F22" i="2"/>
  <c r="E22" i="2"/>
  <c r="D22" i="2"/>
  <c r="C22" i="2"/>
  <c r="B22" i="2"/>
  <c r="A22" i="2"/>
  <c r="I21" i="2"/>
  <c r="G21" i="2"/>
  <c r="F21" i="2"/>
  <c r="E21" i="2"/>
  <c r="D21" i="2"/>
  <c r="C21" i="2"/>
  <c r="B21" i="2"/>
  <c r="A21" i="2"/>
  <c r="I20" i="2"/>
  <c r="G20" i="2"/>
  <c r="F20" i="2"/>
  <c r="E20" i="2"/>
  <c r="D20" i="2"/>
  <c r="C20" i="2"/>
  <c r="B20" i="2"/>
  <c r="A20" i="2"/>
  <c r="I19" i="2"/>
  <c r="G19" i="2"/>
  <c r="F19" i="2"/>
  <c r="E19" i="2"/>
  <c r="D19" i="2"/>
  <c r="C19" i="2"/>
  <c r="B19" i="2"/>
  <c r="A19" i="2"/>
  <c r="I18" i="2"/>
  <c r="G18" i="2"/>
  <c r="F18" i="2"/>
  <c r="E18" i="2"/>
  <c r="D18" i="2"/>
  <c r="C18" i="2"/>
  <c r="B18" i="2"/>
  <c r="A18" i="2"/>
  <c r="I17" i="2"/>
  <c r="G17" i="2"/>
  <c r="F17" i="2"/>
  <c r="E17" i="2"/>
  <c r="D17" i="2"/>
  <c r="C17" i="2"/>
  <c r="B17" i="2"/>
  <c r="A17" i="2"/>
  <c r="I16" i="2"/>
  <c r="G16" i="2"/>
  <c r="F16" i="2"/>
  <c r="E16" i="2"/>
  <c r="D16" i="2"/>
  <c r="C16" i="2"/>
  <c r="B16" i="2"/>
  <c r="A16" i="2"/>
  <c r="G15" i="2"/>
  <c r="F15" i="2"/>
  <c r="E15" i="2"/>
  <c r="C15" i="2"/>
  <c r="B15" i="2"/>
  <c r="A15" i="2"/>
  <c r="G14" i="2"/>
  <c r="E14" i="2"/>
  <c r="C14" i="2"/>
  <c r="B14" i="2"/>
  <c r="A14" i="2"/>
  <c r="G13" i="2"/>
  <c r="F13" i="2"/>
  <c r="E13" i="2"/>
  <c r="B13" i="2"/>
  <c r="A13" i="2"/>
  <c r="B5" i="2"/>
  <c r="A27" i="2" s="1"/>
  <c r="D62" i="1"/>
  <c r="H59" i="1"/>
  <c r="B41" i="1"/>
  <c r="K29" i="1"/>
  <c r="M25" i="1"/>
  <c r="H25" i="1"/>
  <c r="M24" i="1"/>
  <c r="H24" i="1"/>
  <c r="F21" i="9" s="1"/>
  <c r="M23" i="1"/>
  <c r="H23" i="1"/>
  <c r="F20" i="9" s="1"/>
  <c r="M22" i="1"/>
  <c r="H22" i="1"/>
  <c r="F19" i="9" s="1"/>
  <c r="M21" i="1"/>
  <c r="H21" i="1"/>
  <c r="F18" i="9" s="1"/>
  <c r="M20" i="1"/>
  <c r="H20" i="1"/>
  <c r="F17" i="9" s="1"/>
  <c r="M19" i="1"/>
  <c r="H19" i="1"/>
  <c r="F16" i="9" s="1"/>
  <c r="M18" i="1"/>
  <c r="H18" i="1"/>
  <c r="F15" i="9" s="1"/>
  <c r="M17" i="1"/>
  <c r="H17" i="1"/>
  <c r="F14" i="9" s="1"/>
  <c r="H16" i="1"/>
  <c r="F13" i="9" s="1"/>
  <c r="M15" i="1"/>
  <c r="I15" i="1"/>
  <c r="I12" i="7" s="1"/>
  <c r="H15" i="1"/>
  <c r="F12" i="9" s="1"/>
  <c r="M14" i="1"/>
  <c r="I14" i="1"/>
  <c r="I11" i="7" s="1"/>
  <c r="H14" i="1"/>
  <c r="C13" i="2" s="1"/>
  <c r="I13" i="1"/>
  <c r="B7" i="1"/>
  <c r="I2" i="2" s="1"/>
  <c r="I17" i="1"/>
  <c r="I21" i="1"/>
  <c r="I24" i="1"/>
  <c r="I19" i="1"/>
  <c r="I25" i="1"/>
  <c r="I18" i="1"/>
  <c r="I22" i="1"/>
  <c r="I23" i="1"/>
  <c r="M16" i="1"/>
  <c r="I16" i="1"/>
  <c r="I20" i="1"/>
  <c r="D13" i="2" l="1"/>
  <c r="B11" i="4"/>
  <c r="G16" i="3"/>
  <c r="D15" i="2"/>
  <c r="B12" i="4"/>
  <c r="D14" i="2"/>
  <c r="A12" i="5"/>
  <c r="B11" i="6"/>
  <c r="G18" i="3"/>
  <c r="A27" i="3"/>
  <c r="G15" i="5"/>
  <c r="C12" i="6"/>
  <c r="B10" i="3"/>
  <c r="G20" i="3"/>
  <c r="D21" i="5"/>
  <c r="E19" i="5"/>
  <c r="G12" i="3"/>
  <c r="B11" i="2"/>
  <c r="G22" i="3"/>
  <c r="F17" i="5"/>
  <c r="I15" i="2"/>
  <c r="A13" i="4"/>
  <c r="E13" i="6"/>
  <c r="G14" i="3"/>
  <c r="I16" i="7"/>
  <c r="I16" i="9"/>
  <c r="I19" i="7"/>
  <c r="I19" i="9"/>
  <c r="I14" i="7"/>
  <c r="I14" i="9"/>
  <c r="I17" i="7"/>
  <c r="I17" i="9"/>
  <c r="I13" i="7"/>
  <c r="I13" i="9"/>
  <c r="I20" i="7"/>
  <c r="I20" i="9"/>
  <c r="I15" i="7"/>
  <c r="I15" i="9"/>
  <c r="I21" i="7"/>
  <c r="I21" i="9"/>
  <c r="I18" i="7"/>
  <c r="I18" i="9"/>
  <c r="I12" i="5"/>
  <c r="I12" i="4"/>
  <c r="I13" i="3"/>
  <c r="I11" i="5"/>
  <c r="I11" i="4"/>
  <c r="I12" i="3"/>
  <c r="F14" i="6"/>
  <c r="I11" i="9"/>
  <c r="I12" i="9"/>
  <c r="C12" i="4"/>
  <c r="B13" i="4"/>
  <c r="B14" i="4"/>
  <c r="A15" i="4"/>
  <c r="A16" i="4"/>
  <c r="A17" i="4"/>
  <c r="A18" i="4"/>
  <c r="A19" i="4"/>
  <c r="A20" i="4"/>
  <c r="A21" i="4"/>
  <c r="A22" i="4"/>
  <c r="B11" i="5"/>
  <c r="B12" i="5"/>
  <c r="A13" i="5"/>
  <c r="A14" i="5"/>
  <c r="G17" i="5"/>
  <c r="G18" i="5"/>
  <c r="F19" i="5"/>
  <c r="F20" i="5"/>
  <c r="E21" i="5"/>
  <c r="E22" i="5"/>
  <c r="E12" i="6"/>
  <c r="G14" i="6"/>
  <c r="F14" i="2"/>
  <c r="A12" i="3"/>
  <c r="A13" i="3"/>
  <c r="A14" i="3"/>
  <c r="A15" i="3"/>
  <c r="A16" i="3"/>
  <c r="A17" i="3"/>
  <c r="A18" i="3"/>
  <c r="A19" i="3"/>
  <c r="A20" i="3"/>
  <c r="A21" i="3"/>
  <c r="A22" i="3"/>
  <c r="A23" i="3"/>
  <c r="C14" i="4"/>
  <c r="B15" i="4"/>
  <c r="B16" i="4"/>
  <c r="B17" i="4"/>
  <c r="B18" i="4"/>
  <c r="B19" i="4"/>
  <c r="B20" i="4"/>
  <c r="B21" i="4"/>
  <c r="B22" i="4"/>
  <c r="C12" i="5"/>
  <c r="B13" i="5"/>
  <c r="B14" i="5"/>
  <c r="A15" i="5"/>
  <c r="A16" i="5"/>
  <c r="G19" i="5"/>
  <c r="G20" i="5"/>
  <c r="F21" i="5"/>
  <c r="F22" i="5"/>
  <c r="E11" i="6"/>
  <c r="G13" i="6"/>
  <c r="C11" i="7"/>
  <c r="C11" i="6" s="1"/>
  <c r="C13" i="7"/>
  <c r="C14" i="3" s="1"/>
  <c r="C14" i="7"/>
  <c r="C15" i="7"/>
  <c r="C16" i="7"/>
  <c r="C17" i="7"/>
  <c r="C18" i="7"/>
  <c r="C19" i="7"/>
  <c r="C20" i="7"/>
  <c r="C21" i="7"/>
  <c r="B12" i="3"/>
  <c r="B13" i="3"/>
  <c r="B14" i="3"/>
  <c r="B15" i="3"/>
  <c r="B16" i="3"/>
  <c r="B17" i="3"/>
  <c r="B18" i="3"/>
  <c r="B19" i="3"/>
  <c r="B20" i="3"/>
  <c r="B21" i="3"/>
  <c r="B22" i="3"/>
  <c r="B23" i="3"/>
  <c r="E11" i="4"/>
  <c r="E12" i="4"/>
  <c r="D14" i="4"/>
  <c r="C15" i="4"/>
  <c r="C16" i="4"/>
  <c r="C17" i="4"/>
  <c r="C18" i="4"/>
  <c r="C19" i="4"/>
  <c r="C20" i="4"/>
  <c r="C21" i="4"/>
  <c r="C22" i="4"/>
  <c r="C14" i="5"/>
  <c r="B15" i="5"/>
  <c r="B16" i="5"/>
  <c r="A17" i="5"/>
  <c r="A18" i="5"/>
  <c r="G21" i="5"/>
  <c r="G22" i="5"/>
  <c r="F11" i="6"/>
  <c r="F17" i="6" s="1"/>
  <c r="H17" i="6" s="1"/>
  <c r="I17" i="6" s="1"/>
  <c r="G12" i="6"/>
  <c r="A14" i="6"/>
  <c r="D11" i="7"/>
  <c r="D11" i="6" s="1"/>
  <c r="D12" i="7"/>
  <c r="D12" i="6" s="1"/>
  <c r="D13" i="7"/>
  <c r="D13" i="6" s="1"/>
  <c r="D14" i="7"/>
  <c r="D15" i="7"/>
  <c r="D16" i="7"/>
  <c r="D17" i="7"/>
  <c r="D18" i="7"/>
  <c r="D19" i="7"/>
  <c r="D20" i="7"/>
  <c r="D21" i="7"/>
  <c r="C11" i="9"/>
  <c r="C13" i="9"/>
  <c r="C14" i="9"/>
  <c r="C15" i="9"/>
  <c r="C16" i="9"/>
  <c r="C17" i="9"/>
  <c r="C18" i="9"/>
  <c r="C19" i="9"/>
  <c r="C20" i="9"/>
  <c r="C21" i="9"/>
  <c r="E11" i="2"/>
  <c r="I13" i="2"/>
  <c r="I14" i="2"/>
  <c r="C13" i="3"/>
  <c r="C15" i="3"/>
  <c r="C16" i="3"/>
  <c r="C17" i="3"/>
  <c r="C18" i="3"/>
  <c r="C19" i="3"/>
  <c r="C20" i="3"/>
  <c r="C21" i="3"/>
  <c r="C22" i="3"/>
  <c r="C23" i="3"/>
  <c r="F11" i="4"/>
  <c r="E13" i="4"/>
  <c r="E14" i="4"/>
  <c r="D15" i="4"/>
  <c r="D16" i="4"/>
  <c r="D17" i="4"/>
  <c r="D18" i="4"/>
  <c r="D19" i="4"/>
  <c r="D20" i="4"/>
  <c r="D21" i="4"/>
  <c r="D22" i="4"/>
  <c r="E11" i="5"/>
  <c r="E12" i="5"/>
  <c r="D14" i="5"/>
  <c r="C15" i="5"/>
  <c r="C16" i="5"/>
  <c r="B17" i="5"/>
  <c r="B18" i="5"/>
  <c r="A19" i="5"/>
  <c r="A20" i="5"/>
  <c r="A38" i="5"/>
  <c r="G11" i="6"/>
  <c r="A13" i="6"/>
  <c r="B14" i="6"/>
  <c r="B10" i="8"/>
  <c r="D11" i="9"/>
  <c r="D12" i="9"/>
  <c r="D13" i="9"/>
  <c r="D14" i="9"/>
  <c r="D15" i="9"/>
  <c r="D16" i="9"/>
  <c r="D17" i="9"/>
  <c r="D18" i="9"/>
  <c r="D19" i="9"/>
  <c r="D20" i="9"/>
  <c r="D21" i="9"/>
  <c r="D14" i="3"/>
  <c r="D15" i="3"/>
  <c r="D16" i="3"/>
  <c r="D17" i="3"/>
  <c r="D18" i="3"/>
  <c r="D19" i="3"/>
  <c r="D20" i="3"/>
  <c r="D21" i="3"/>
  <c r="D22" i="3"/>
  <c r="D23" i="3"/>
  <c r="G11" i="4"/>
  <c r="A23" i="4" s="1"/>
  <c r="G12" i="4"/>
  <c r="F13" i="4"/>
  <c r="F14" i="4"/>
  <c r="E15" i="4"/>
  <c r="E16" i="4"/>
  <c r="E17" i="4"/>
  <c r="E18" i="4"/>
  <c r="E19" i="4"/>
  <c r="E20" i="4"/>
  <c r="E21" i="4"/>
  <c r="E22" i="4"/>
  <c r="F11" i="5"/>
  <c r="E13" i="5"/>
  <c r="E14" i="5"/>
  <c r="D15" i="5"/>
  <c r="D16" i="5"/>
  <c r="C17" i="5"/>
  <c r="C18" i="5"/>
  <c r="B19" i="5"/>
  <c r="B20" i="5"/>
  <c r="A21" i="5"/>
  <c r="A22" i="5"/>
  <c r="A12" i="6"/>
  <c r="B13" i="6"/>
  <c r="C14" i="6"/>
  <c r="F12" i="7"/>
  <c r="F12" i="6" s="1"/>
  <c r="F13" i="7"/>
  <c r="F13" i="6" s="1"/>
  <c r="F14" i="7"/>
  <c r="F15" i="7"/>
  <c r="F16" i="7"/>
  <c r="F17" i="7"/>
  <c r="F18" i="7"/>
  <c r="F19" i="7"/>
  <c r="F20" i="7"/>
  <c r="F21" i="7"/>
  <c r="E10" i="8"/>
  <c r="E12" i="3"/>
  <c r="E13" i="3"/>
  <c r="E14" i="3"/>
  <c r="E15" i="3"/>
  <c r="E16" i="3"/>
  <c r="E17" i="3"/>
  <c r="E18" i="3"/>
  <c r="E19" i="3"/>
  <c r="E20" i="3"/>
  <c r="E21" i="3"/>
  <c r="E22" i="3"/>
  <c r="E23" i="3"/>
  <c r="G13" i="4"/>
  <c r="G14" i="4"/>
  <c r="F15" i="4"/>
  <c r="F16" i="4"/>
  <c r="F17" i="4"/>
  <c r="F18" i="4"/>
  <c r="F19" i="4"/>
  <c r="F20" i="4"/>
  <c r="F21" i="4"/>
  <c r="F22" i="4"/>
  <c r="B9" i="5"/>
  <c r="G11" i="5"/>
  <c r="A29" i="5" s="1"/>
  <c r="G12" i="5"/>
  <c r="F13" i="5"/>
  <c r="F14" i="5"/>
  <c r="E15" i="5"/>
  <c r="E16" i="5"/>
  <c r="D17" i="5"/>
  <c r="D18" i="5"/>
  <c r="C19" i="5"/>
  <c r="C20" i="5"/>
  <c r="B21" i="5"/>
  <c r="B22" i="5"/>
  <c r="A11" i="6"/>
  <c r="A17" i="6" s="1"/>
  <c r="B12" i="6"/>
  <c r="C13" i="6"/>
  <c r="D14" i="6"/>
  <c r="F12" i="3"/>
  <c r="F14" i="3"/>
  <c r="F15" i="3"/>
  <c r="F16" i="3"/>
  <c r="F17" i="3"/>
  <c r="F18" i="3"/>
  <c r="F19" i="3"/>
  <c r="F20" i="3"/>
  <c r="F21" i="3"/>
  <c r="F22" i="3"/>
  <c r="F23" i="3"/>
  <c r="A11" i="4"/>
  <c r="A12" i="4"/>
  <c r="G15" i="4"/>
  <c r="G16" i="4"/>
  <c r="G17" i="4"/>
  <c r="G18" i="4"/>
  <c r="G19" i="4"/>
  <c r="G20" i="4"/>
  <c r="G21" i="4"/>
  <c r="G22" i="4"/>
  <c r="G13" i="5"/>
  <c r="G14" i="5"/>
  <c r="D13" i="3" l="1"/>
  <c r="D12" i="5"/>
  <c r="D12" i="3"/>
  <c r="C11" i="5"/>
  <c r="C13" i="5"/>
  <c r="C13" i="4"/>
  <c r="D11" i="5"/>
  <c r="D13" i="5"/>
  <c r="D13" i="4"/>
  <c r="F13" i="3"/>
  <c r="F12" i="4"/>
  <c r="I17" i="4"/>
  <c r="I17" i="5"/>
  <c r="I18" i="3"/>
  <c r="F12" i="5"/>
  <c r="I15" i="5"/>
  <c r="I16" i="3"/>
  <c r="I15" i="4"/>
  <c r="I14" i="4"/>
  <c r="I15" i="3"/>
  <c r="I14" i="5"/>
  <c r="D12" i="4"/>
  <c r="C11" i="4"/>
  <c r="I21" i="4"/>
  <c r="I21" i="5"/>
  <c r="I22" i="3"/>
  <c r="C12" i="3"/>
  <c r="D11" i="4"/>
  <c r="I20" i="4"/>
  <c r="I20" i="5"/>
  <c r="I21" i="3"/>
  <c r="I19" i="5"/>
  <c r="I20" i="3"/>
  <c r="I19" i="4"/>
  <c r="I18" i="4"/>
  <c r="I18" i="5"/>
  <c r="I19" i="3"/>
  <c r="I13" i="4"/>
  <c r="I13" i="5"/>
  <c r="I14" i="3"/>
  <c r="I16" i="4"/>
  <c r="I16" i="5"/>
  <c r="I1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N11" authorId="0" shapeId="0" xr:uid="{00000000-0006-0000-0400-000001000000}">
      <text>
        <r>
          <rPr>
            <sz val="10"/>
            <rFont val="Noto Sans CJK SC"/>
            <family val="2"/>
          </rPr>
          <t xml:space="preserve">함수 삭제 금지
</t>
        </r>
      </text>
    </comment>
  </commentList>
</comments>
</file>

<file path=xl/sharedStrings.xml><?xml version="1.0" encoding="utf-8"?>
<sst xmlns="http://schemas.openxmlformats.org/spreadsheetml/2006/main" count="2061" uniqueCount="561">
  <si>
    <t>FX DEAL TICKET</t>
  </si>
  <si>
    <t>TICKET NO :</t>
  </si>
  <si>
    <t>DATE:</t>
  </si>
  <si>
    <t>DEALER</t>
  </si>
  <si>
    <t>SIGN</t>
  </si>
  <si>
    <t>TODAY</t>
  </si>
  <si>
    <t>TOM</t>
  </si>
  <si>
    <t>SPOT</t>
  </si>
  <si>
    <t>FWD</t>
  </si>
  <si>
    <t>CUSTOMER:</t>
  </si>
  <si>
    <t>우리 FXC</t>
  </si>
  <si>
    <t>BRANCH:</t>
  </si>
  <si>
    <t>커버</t>
  </si>
  <si>
    <t>본지점</t>
  </si>
  <si>
    <t>투입</t>
  </si>
  <si>
    <t>VALUE:</t>
  </si>
  <si>
    <t>구분</t>
  </si>
  <si>
    <t>CCY</t>
  </si>
  <si>
    <t>AMOUNT</t>
  </si>
  <si>
    <t>CROSS RATE</t>
  </si>
  <si>
    <t>COVER 
RATE</t>
  </si>
  <si>
    <t>CUSTOMER 
RATE</t>
  </si>
  <si>
    <t>출처</t>
  </si>
  <si>
    <t>B</t>
  </si>
  <si>
    <t>USD</t>
  </si>
  <si>
    <t>S</t>
  </si>
  <si>
    <t>REMARKS:</t>
  </si>
  <si>
    <t>ORDER:</t>
  </si>
  <si>
    <t>EQUIVALENT</t>
  </si>
  <si>
    <t>본지점 환률</t>
  </si>
  <si>
    <t>CITI</t>
  </si>
  <si>
    <t>HSBC</t>
  </si>
  <si>
    <t>iM Bank</t>
  </si>
  <si>
    <t>CONFIRMATION</t>
  </si>
  <si>
    <t>Party A</t>
  </si>
  <si>
    <t>Party B</t>
  </si>
  <si>
    <t>Swap Provider</t>
  </si>
  <si>
    <t>전송구분</t>
  </si>
  <si>
    <t>신규</t>
  </si>
  <si>
    <t>Type</t>
  </si>
  <si>
    <t>FX SPOT</t>
  </si>
  <si>
    <t>Trade Details</t>
  </si>
  <si>
    <t>As Follows</t>
  </si>
  <si>
    <t>펀드코드</t>
  </si>
  <si>
    <t>환율</t>
  </si>
  <si>
    <t>결제일</t>
  </si>
  <si>
    <t>거래구분</t>
  </si>
  <si>
    <t>수탁은행</t>
  </si>
  <si>
    <t>비고</t>
  </si>
  <si>
    <t>통화</t>
  </si>
  <si>
    <t>금 액</t>
  </si>
  <si>
    <t>Authorized Signature</t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</si>
  <si>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</rPr>
      <t xml:space="preserve">위 </t>
    </r>
    <r>
      <rPr>
        <sz val="9"/>
        <rFont val="맑은 고딕"/>
        <family val="3"/>
        <charset val="129"/>
      </rPr>
      <t>CONFIRMATION</t>
    </r>
    <r>
      <rPr>
        <sz val="9"/>
        <rFont val="Noto Sans CJK SC"/>
        <family val="2"/>
      </rPr>
      <t>으로 상기 수탁은행에 대한 송금신청을 대신합니다</t>
    </r>
    <r>
      <rPr>
        <sz val="9"/>
        <rFont val="맑은 고딕"/>
        <family val="3"/>
        <charset val="129"/>
      </rPr>
      <t>.</t>
    </r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</si>
  <si>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</rPr>
      <t xml:space="preserve">해당 </t>
    </r>
    <r>
      <rPr>
        <sz val="9"/>
        <rFont val="맑은 고딕"/>
        <family val="3"/>
        <charset val="129"/>
      </rPr>
      <t>CONFIRMATION</t>
    </r>
    <r>
      <rPr>
        <sz val="9"/>
        <rFont val="Noto Sans CJK SC"/>
        <family val="2"/>
      </rPr>
      <t xml:space="preserve">을 확인 후 </t>
    </r>
    <r>
      <rPr>
        <sz val="9"/>
        <rFont val="맑은 고딕"/>
        <family val="3"/>
        <charset val="129"/>
      </rPr>
      <t xml:space="preserve">fxconfirm@imfng.com </t>
    </r>
    <r>
      <rPr>
        <sz val="9"/>
        <rFont val="Noto Sans CJK SC"/>
        <family val="2"/>
      </rPr>
      <t xml:space="preserve">혹은 </t>
    </r>
    <r>
      <rPr>
        <sz val="9"/>
        <rFont val="맑은 고딕"/>
        <family val="3"/>
        <charset val="129"/>
      </rPr>
      <t xml:space="preserve">F.0505-108-7630 </t>
    </r>
    <r>
      <rPr>
        <sz val="9"/>
        <rFont val="Noto Sans CJK SC"/>
        <family val="2"/>
      </rPr>
      <t>로 회신 부탁드립니다</t>
    </r>
    <r>
      <rPr>
        <sz val="9"/>
        <rFont val="맑은 고딕"/>
        <family val="3"/>
        <charset val="129"/>
      </rPr>
      <t>.</t>
    </r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</si>
  <si>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</rPr>
      <t xml:space="preserve">펀드 발행가 대비 </t>
    </r>
    <r>
      <rPr>
        <sz val="9"/>
        <rFont val="맑은 고딕"/>
        <family val="3"/>
        <charset val="129"/>
      </rPr>
      <t xml:space="preserve">NAV 35% </t>
    </r>
    <r>
      <rPr>
        <sz val="9"/>
        <rFont val="Noto Sans CJK SC"/>
        <family val="2"/>
      </rPr>
      <t>이하로 하락시 해당 파생상품은 중도청산 될 수 있습니다</t>
    </r>
    <r>
      <rPr>
        <sz val="9"/>
        <rFont val="맑은 고딕"/>
        <family val="3"/>
        <charset val="129"/>
      </rPr>
      <t>.</t>
    </r>
  </si>
  <si>
    <t>■ 사용 방법</t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</si>
  <si>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</rPr>
      <t>딜티켓 탭은 기존 그대로 사용하세요</t>
    </r>
    <r>
      <rPr>
        <sz val="9"/>
        <color rgb="FF808080"/>
        <rFont val="맑은 고딕"/>
        <family val="3"/>
        <charset val="129"/>
      </rPr>
      <t>. CUSTOMER·</t>
    </r>
    <r>
      <rPr>
        <sz val="9"/>
        <color rgb="FF808080"/>
        <rFont val="Noto Sans CJK SC"/>
        <family val="2"/>
      </rPr>
      <t>펀드코드</t>
    </r>
    <r>
      <rPr>
        <sz val="9"/>
        <color rgb="FF808080"/>
        <rFont val="맑은 고딕"/>
        <family val="3"/>
        <charset val="129"/>
      </rPr>
      <t>·</t>
    </r>
    <r>
      <rPr>
        <sz val="9"/>
        <color rgb="FF808080"/>
        <rFont val="Noto Sans CJK SC"/>
        <family val="2"/>
      </rPr>
      <t>구분</t>
    </r>
    <r>
      <rPr>
        <sz val="9"/>
        <color rgb="FF808080"/>
        <rFont val="맑은 고딕"/>
        <family val="3"/>
        <charset val="129"/>
      </rPr>
      <t>·CCY·AMOUNT·RATE·</t>
    </r>
    <r>
      <rPr>
        <sz val="9"/>
        <color rgb="FF808080"/>
        <rFont val="Noto Sans CJK SC"/>
        <family val="2"/>
      </rPr>
      <t>결제일</t>
    </r>
    <r>
      <rPr>
        <sz val="9"/>
        <color rgb="FF808080"/>
        <rFont val="맑은 고딕"/>
        <family val="3"/>
        <charset val="129"/>
      </rPr>
      <t>(K</t>
    </r>
    <r>
      <rPr>
        <sz val="9"/>
        <color rgb="FF808080"/>
        <rFont val="Noto Sans CJK SC"/>
        <family val="2"/>
      </rPr>
      <t>열</t>
    </r>
    <r>
      <rPr>
        <sz val="9"/>
        <color rgb="FF808080"/>
        <rFont val="맑은 고딕"/>
        <family val="3"/>
        <charset val="129"/>
      </rPr>
      <t>)·</t>
    </r>
    <r>
      <rPr>
        <sz val="9"/>
        <color rgb="FF808080"/>
        <rFont val="Noto Sans CJK SC"/>
        <family val="2"/>
      </rPr>
      <t>수탁은행이 자동 반영됩니다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</si>
  <si>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</rPr>
      <t>노란 칸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</rPr>
      <t>전송구분</t>
    </r>
    <r>
      <rPr>
        <sz val="9"/>
        <color rgb="FF808080"/>
        <rFont val="맑은 고딕"/>
        <family val="3"/>
        <charset val="129"/>
      </rPr>
      <t xml:space="preserve">, Type, </t>
    </r>
    <r>
      <rPr>
        <sz val="9"/>
        <color rgb="FF808080"/>
        <rFont val="Noto Sans CJK SC"/>
        <family val="2"/>
      </rPr>
      <t>거래구분</t>
    </r>
    <r>
      <rPr>
        <sz val="9"/>
        <color rgb="FF808080"/>
        <rFont val="맑은 고딕"/>
        <family val="3"/>
        <charset val="129"/>
      </rPr>
      <t xml:space="preserve">, </t>
    </r>
    <r>
      <rPr>
        <sz val="9"/>
        <color rgb="FF808080"/>
        <rFont val="Noto Sans CJK SC"/>
        <family val="2"/>
      </rPr>
      <t>비고</t>
    </r>
    <r>
      <rPr>
        <sz val="9"/>
        <color rgb="FF808080"/>
        <rFont val="맑은 고딕"/>
        <family val="3"/>
        <charset val="129"/>
      </rPr>
      <t>)</t>
    </r>
    <r>
      <rPr>
        <sz val="9"/>
        <color rgb="FF808080"/>
        <rFont val="Noto Sans CJK SC"/>
        <family val="2"/>
      </rPr>
      <t>만 이 탭에서 수기 입력하면 됩니다</t>
    </r>
    <r>
      <rPr>
        <sz val="9"/>
        <color rgb="FF808080"/>
        <rFont val="맑은 고딕"/>
        <family val="3"/>
        <charset val="129"/>
      </rPr>
      <t>. Party B</t>
    </r>
    <r>
      <rPr>
        <sz val="9"/>
        <color rgb="FF808080"/>
        <rFont val="Noto Sans CJK SC"/>
        <family val="2"/>
      </rPr>
      <t>는 고객목록 탭에서 관리합니다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</si>
  <si>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</rPr>
      <t>빈 행은 자동으로 표시되지 않습니다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</rPr>
      <t>테두리 포함</t>
    </r>
    <r>
      <rPr>
        <sz val="9"/>
        <color rgb="FF808080"/>
        <rFont val="맑은 고딕"/>
        <family val="3"/>
        <charset val="129"/>
      </rPr>
      <t>).</t>
    </r>
  </si>
  <si>
    <t>FX SPOT / FORWARD</t>
  </si>
  <si>
    <t xml:space="preserve">TRADE DATE: </t>
  </si>
  <si>
    <t>FX FWD</t>
  </si>
  <si>
    <t>VALUE</t>
  </si>
  <si>
    <t>FX SWAP</t>
  </si>
  <si>
    <r>
      <rPr>
        <b/>
        <sz val="12"/>
        <rFont val="Arial Narrow"/>
        <family val="2"/>
        <charset val="1"/>
      </rPr>
      <t xml:space="preserve">*UTI </t>
    </r>
    <r>
      <rPr>
        <b/>
        <sz val="12"/>
        <rFont val="Noto Sans CJK SC"/>
        <family val="2"/>
      </rPr>
      <t>생성건</t>
    </r>
  </si>
  <si>
    <r>
      <rPr>
        <sz val="15"/>
        <rFont val="Arial Narrow"/>
        <family val="2"/>
        <charset val="1"/>
      </rPr>
      <t xml:space="preserve">** </t>
    </r>
    <r>
      <rPr>
        <sz val="15"/>
        <rFont val="Noto Sans CJK SC"/>
        <family val="2"/>
      </rPr>
      <t xml:space="preserve">확인후 </t>
    </r>
    <r>
      <rPr>
        <sz val="15"/>
        <rFont val="Arial Narrow"/>
        <family val="2"/>
        <charset val="1"/>
      </rPr>
      <t xml:space="preserve">0505-108-7634  </t>
    </r>
    <r>
      <rPr>
        <sz val="15"/>
        <rFont val="Noto Sans CJK SC"/>
        <family val="2"/>
      </rPr>
      <t>재 팩스 부탁드립니다</t>
    </r>
    <r>
      <rPr>
        <sz val="15"/>
        <rFont val="Arial Narrow"/>
        <family val="2"/>
        <charset val="1"/>
      </rPr>
      <t>.</t>
    </r>
  </si>
  <si>
    <t>한국투신운용</t>
  </si>
  <si>
    <t>Korea Investment Management Co., Ltd.</t>
  </si>
  <si>
    <t>(historical rate)</t>
  </si>
  <si>
    <t>기존환율</t>
  </si>
  <si>
    <t>신규(SPOT)</t>
  </si>
  <si>
    <t>환차</t>
  </si>
  <si>
    <t>롤오버금액</t>
  </si>
  <si>
    <t>차액정산금액</t>
  </si>
  <si>
    <t>FUND</t>
  </si>
  <si>
    <t>PAYER</t>
  </si>
  <si>
    <t>KRW AMOUNT</t>
  </si>
  <si>
    <t>KB,HSBC</t>
  </si>
  <si>
    <t>03W65</t>
  </si>
  <si>
    <t>IMBANK</t>
  </si>
  <si>
    <t>09D30</t>
  </si>
  <si>
    <t>CONFIRMATION(UNWINDING)</t>
  </si>
  <si>
    <t>Kiwoom Asset Management Co.Ltd.</t>
  </si>
  <si>
    <t>historical rate+unwind swap</t>
  </si>
  <si>
    <t>UNWINDING</t>
  </si>
  <si>
    <t>1)</t>
  </si>
  <si>
    <t>언와인딩환율</t>
  </si>
  <si>
    <t>언와인딩금액</t>
  </si>
  <si>
    <t>2)</t>
  </si>
  <si>
    <t>3)</t>
  </si>
  <si>
    <t>부분 언와인딩</t>
  </si>
  <si>
    <t>4)</t>
  </si>
  <si>
    <t>펀드</t>
  </si>
  <si>
    <t>기존잔액</t>
  </si>
  <si>
    <t>UNWIND 
SWAP</t>
  </si>
  <si>
    <t>조기결제 금액</t>
  </si>
  <si>
    <t>적용환율</t>
  </si>
  <si>
    <t>잔액(NEW)</t>
  </si>
  <si>
    <t>KB</t>
  </si>
  <si>
    <t>06K78</t>
  </si>
  <si>
    <t>CNH</t>
  </si>
  <si>
    <t>iM BANK</t>
  </si>
  <si>
    <t>CONFIRMATION (UNWINDING)</t>
  </si>
  <si>
    <t>Eugene Asset Management</t>
  </si>
  <si>
    <t>유진자산운용 매수</t>
  </si>
  <si>
    <t>유진자산운용 매도</t>
  </si>
  <si>
    <t>부분 언와인딩( 유진자산운용 AUD 1,030,000 딜리버리)</t>
  </si>
  <si>
    <t>UNWIND SWAP</t>
  </si>
  <si>
    <t>원화금액(KRW)</t>
  </si>
  <si>
    <r>
      <rPr>
        <sz val="10"/>
        <rFont val="Arial Narrow"/>
        <family val="2"/>
        <charset val="1"/>
      </rPr>
      <t xml:space="preserve">* </t>
    </r>
    <r>
      <rPr>
        <sz val="10"/>
        <rFont val="Noto Sans CJK SC"/>
        <family val="2"/>
      </rPr>
      <t xml:space="preserve">위 </t>
    </r>
    <r>
      <rPr>
        <sz val="10"/>
        <rFont val="Arial Narrow"/>
        <family val="2"/>
        <charset val="1"/>
      </rPr>
      <t>CONFIRMATION</t>
    </r>
    <r>
      <rPr>
        <sz val="10"/>
        <rFont val="Noto Sans CJK SC"/>
        <family val="2"/>
      </rPr>
      <t>으로 해당은행에 대한 송금신청을 대신합니다</t>
    </r>
    <r>
      <rPr>
        <sz val="10"/>
        <rFont val="Arial Narrow"/>
        <family val="2"/>
        <charset val="1"/>
      </rPr>
      <t>(</t>
    </r>
    <r>
      <rPr>
        <sz val="10"/>
        <rFont val="Noto Sans CJK SC"/>
        <family val="2"/>
      </rPr>
      <t>수탁은행</t>
    </r>
    <r>
      <rPr>
        <sz val="10"/>
        <rFont val="Arial Narrow"/>
        <family val="2"/>
        <charset val="1"/>
      </rPr>
      <t>: HANA)</t>
    </r>
  </si>
  <si>
    <r>
      <rPr>
        <b/>
        <sz val="11"/>
        <rFont val="Arial Narrow"/>
        <family val="2"/>
        <charset val="1"/>
      </rPr>
      <t xml:space="preserve">*UTI </t>
    </r>
    <r>
      <rPr>
        <b/>
        <sz val="11"/>
        <rFont val="Noto Sans CJK SC"/>
        <family val="2"/>
      </rPr>
      <t>생성건</t>
    </r>
  </si>
  <si>
    <t>Eugene Asset</t>
  </si>
  <si>
    <t>Management Co.Ltd.</t>
  </si>
  <si>
    <r>
      <rPr>
        <sz val="15"/>
        <rFont val="Arial Narrow"/>
        <family val="2"/>
        <charset val="1"/>
      </rPr>
      <t xml:space="preserve">** </t>
    </r>
    <r>
      <rPr>
        <sz val="15"/>
        <rFont val="Noto Sans CJK SC"/>
        <family val="2"/>
      </rPr>
      <t xml:space="preserve">확인후 </t>
    </r>
    <r>
      <rPr>
        <sz val="15"/>
        <rFont val="Arial Narrow"/>
        <family val="2"/>
        <charset val="1"/>
      </rPr>
      <t xml:space="preserve">0505-108-7634 </t>
    </r>
    <r>
      <rPr>
        <sz val="15"/>
        <rFont val="Noto Sans CJK SC"/>
        <family val="2"/>
      </rPr>
      <t>재 팩스 부탁드립니다</t>
    </r>
    <r>
      <rPr>
        <sz val="15"/>
        <rFont val="Arial Narrow"/>
        <family val="2"/>
        <charset val="1"/>
      </rPr>
      <t>.</t>
    </r>
  </si>
  <si>
    <t>Daegu Bank</t>
  </si>
  <si>
    <r>
      <rPr>
        <sz val="11"/>
        <rFont val="돋움"/>
        <family val="3"/>
        <charset val="129"/>
      </rPr>
      <t xml:space="preserve">HANA UBS ASSET </t>
    </r>
    <r>
      <rPr>
        <sz val="11"/>
        <rFont val="Noto Sans CJK SC"/>
        <family val="2"/>
      </rPr>
      <t>매수</t>
    </r>
  </si>
  <si>
    <r>
      <rPr>
        <sz val="11"/>
        <rFont val="돋움"/>
        <family val="3"/>
        <charset val="129"/>
      </rPr>
      <t xml:space="preserve">HANA UBS ASSET </t>
    </r>
    <r>
      <rPr>
        <sz val="11"/>
        <rFont val="Noto Sans CJK SC"/>
        <family val="2"/>
      </rPr>
      <t>매도</t>
    </r>
  </si>
  <si>
    <t>Fwd</t>
  </si>
  <si>
    <t>이하여백</t>
  </si>
  <si>
    <r>
      <rPr>
        <sz val="10"/>
        <rFont val="Arial Narrow"/>
        <family val="2"/>
        <charset val="1"/>
      </rPr>
      <t xml:space="preserve">** </t>
    </r>
    <r>
      <rPr>
        <sz val="10"/>
        <rFont val="Noto Sans CJK SC"/>
        <family val="2"/>
      </rPr>
      <t xml:space="preserve">위 </t>
    </r>
    <r>
      <rPr>
        <sz val="10"/>
        <rFont val="Arial Narrow"/>
        <family val="2"/>
        <charset val="1"/>
      </rPr>
      <t>CONFIRMATION</t>
    </r>
    <r>
      <rPr>
        <sz val="10"/>
        <rFont val="Noto Sans CJK SC"/>
        <family val="2"/>
      </rPr>
      <t>으로 해당은행에 대한 송금신청을 대신합니다</t>
    </r>
    <r>
      <rPr>
        <sz val="10"/>
        <rFont val="Arial Narrow"/>
        <family val="2"/>
        <charset val="1"/>
      </rPr>
      <t>(</t>
    </r>
    <r>
      <rPr>
        <sz val="10"/>
        <rFont val="Noto Sans CJK SC"/>
        <family val="2"/>
      </rPr>
      <t>수취은행</t>
    </r>
    <r>
      <rPr>
        <sz val="10"/>
        <rFont val="Arial Narrow"/>
        <family val="2"/>
        <charset val="1"/>
      </rPr>
      <t>: CITI, KEB, SHB, HANA)</t>
    </r>
  </si>
  <si>
    <t>Hana UBS Asset</t>
  </si>
  <si>
    <t>Management Co., Ltd</t>
  </si>
  <si>
    <r>
      <rPr>
        <sz val="15"/>
        <rFont val="Arial Narrow"/>
        <family val="2"/>
        <charset val="1"/>
      </rPr>
      <t xml:space="preserve">** </t>
    </r>
    <r>
      <rPr>
        <sz val="15"/>
        <rFont val="Noto Sans CJK SC"/>
        <family val="2"/>
      </rPr>
      <t xml:space="preserve">확인후 </t>
    </r>
    <r>
      <rPr>
        <sz val="15"/>
        <rFont val="Arial Narrow"/>
        <family val="2"/>
        <charset val="1"/>
      </rPr>
      <t xml:space="preserve">02 - 775 - 8864 </t>
    </r>
    <r>
      <rPr>
        <sz val="15"/>
        <rFont val="Noto Sans CJK SC"/>
        <family val="2"/>
      </rPr>
      <t>재 팩스 부탁드립니다</t>
    </r>
    <r>
      <rPr>
        <sz val="15"/>
        <rFont val="Arial Narrow"/>
        <family val="2"/>
        <charset val="1"/>
      </rPr>
      <t>.</t>
    </r>
  </si>
  <si>
    <t>CF12</t>
  </si>
  <si>
    <t>KRW</t>
  </si>
  <si>
    <t>HANA</t>
  </si>
  <si>
    <t>D</t>
  </si>
  <si>
    <r>
      <rPr>
        <sz val="10"/>
        <rFont val="Arial Narrow"/>
        <family val="2"/>
        <charset val="1"/>
      </rPr>
      <t xml:space="preserve">** </t>
    </r>
    <r>
      <rPr>
        <sz val="10"/>
        <rFont val="Noto Sans CJK SC"/>
        <family val="2"/>
      </rPr>
      <t xml:space="preserve">위 </t>
    </r>
    <r>
      <rPr>
        <sz val="10"/>
        <rFont val="Arial Narrow"/>
        <family val="2"/>
        <charset val="1"/>
      </rPr>
      <t>CONFIRMATION</t>
    </r>
    <r>
      <rPr>
        <sz val="10"/>
        <rFont val="Noto Sans CJK SC"/>
        <family val="2"/>
      </rPr>
      <t>으로 해당은행에 대한 송금신청을 대신합니다</t>
    </r>
    <r>
      <rPr>
        <sz val="10"/>
        <rFont val="Arial Narrow"/>
        <family val="2"/>
        <charset val="1"/>
      </rPr>
      <t>(</t>
    </r>
    <r>
      <rPr>
        <sz val="10"/>
        <rFont val="Noto Sans CJK SC"/>
        <family val="2"/>
      </rPr>
      <t>수취은행</t>
    </r>
    <r>
      <rPr>
        <sz val="10"/>
        <rFont val="Arial Narrow"/>
        <family val="2"/>
        <charset val="1"/>
      </rPr>
      <t xml:space="preserve">: </t>
    </r>
    <r>
      <rPr>
        <sz val="10"/>
        <rFont val="Noto Sans CJK SC"/>
        <family val="2"/>
      </rPr>
      <t>하나은행</t>
    </r>
    <r>
      <rPr>
        <sz val="10"/>
        <rFont val="Arial Narrow"/>
        <family val="2"/>
        <charset val="1"/>
      </rPr>
      <t>)</t>
    </r>
  </si>
  <si>
    <t>SCB</t>
  </si>
  <si>
    <t>SHB</t>
  </si>
  <si>
    <t>WOORI</t>
  </si>
  <si>
    <t>3G171</t>
  </si>
  <si>
    <t>KSFC</t>
  </si>
  <si>
    <t>NACF</t>
  </si>
  <si>
    <t>D439</t>
  </si>
  <si>
    <t>D443</t>
  </si>
  <si>
    <t>D476</t>
  </si>
  <si>
    <t>D480</t>
  </si>
  <si>
    <t>D493</t>
  </si>
  <si>
    <t>DD36</t>
  </si>
  <si>
    <t>DD41</t>
  </si>
  <si>
    <t>DD42</t>
  </si>
  <si>
    <t>DD97</t>
  </si>
  <si>
    <t>M050</t>
  </si>
  <si>
    <t>M051</t>
  </si>
  <si>
    <t>M070</t>
  </si>
  <si>
    <t>M080</t>
  </si>
  <si>
    <t>M140</t>
  </si>
  <si>
    <t>M241</t>
  </si>
  <si>
    <t>MM00</t>
  </si>
  <si>
    <t>MM50</t>
  </si>
  <si>
    <t>MM82</t>
  </si>
  <si>
    <t>MM90</t>
  </si>
  <si>
    <t>IBK</t>
  </si>
  <si>
    <t>DEUTS</t>
  </si>
  <si>
    <t>23G150</t>
  </si>
  <si>
    <t>23G211</t>
  </si>
  <si>
    <t>23G212</t>
  </si>
  <si>
    <t>23G213</t>
  </si>
  <si>
    <t>23G214</t>
  </si>
  <si>
    <t>23G215</t>
  </si>
  <si>
    <t>23G401</t>
  </si>
  <si>
    <t>8A0006</t>
  </si>
  <si>
    <t>06Z20</t>
  </si>
  <si>
    <t>06Z53</t>
  </si>
  <si>
    <t>06Z54</t>
  </si>
  <si>
    <t>07P52</t>
  </si>
  <si>
    <t>03V06</t>
  </si>
  <si>
    <t>03V74</t>
  </si>
  <si>
    <t>03V79</t>
  </si>
  <si>
    <t>03W39</t>
  </si>
  <si>
    <t>03W55</t>
  </si>
  <si>
    <t>03W59</t>
  </si>
  <si>
    <t>03W69</t>
  </si>
  <si>
    <t>03X30</t>
  </si>
  <si>
    <t>03X32</t>
  </si>
  <si>
    <t>03Y02</t>
  </si>
  <si>
    <t>03Y18</t>
  </si>
  <si>
    <t>03Z58</t>
  </si>
  <si>
    <t>03Z99</t>
  </si>
  <si>
    <t>04D05</t>
  </si>
  <si>
    <t>04D07</t>
  </si>
  <si>
    <t>04D22</t>
  </si>
  <si>
    <t>04D23</t>
  </si>
  <si>
    <t>04D31</t>
  </si>
  <si>
    <t>04D38</t>
  </si>
  <si>
    <t>04D60</t>
  </si>
  <si>
    <t>04D69</t>
  </si>
  <si>
    <t>04D71</t>
  </si>
  <si>
    <t>04D77</t>
  </si>
  <si>
    <t>04D79</t>
  </si>
  <si>
    <t>04D96</t>
  </si>
  <si>
    <t>04D99</t>
  </si>
  <si>
    <t>04F07</t>
  </si>
  <si>
    <t>04X58</t>
  </si>
  <si>
    <t>05A34</t>
  </si>
  <si>
    <t>05A39</t>
  </si>
  <si>
    <t>05A50</t>
  </si>
  <si>
    <t>05B58</t>
  </si>
  <si>
    <t>05B64</t>
  </si>
  <si>
    <t>05B66</t>
  </si>
  <si>
    <t>05F28</t>
  </si>
  <si>
    <t>05F30</t>
  </si>
  <si>
    <t>05F40</t>
  </si>
  <si>
    <t>05F43</t>
  </si>
  <si>
    <t>05F47</t>
  </si>
  <si>
    <t>05F49</t>
  </si>
  <si>
    <t>05F50</t>
  </si>
  <si>
    <t>05F52</t>
  </si>
  <si>
    <t>05F59</t>
  </si>
  <si>
    <t>05F63</t>
  </si>
  <si>
    <t>05F74</t>
  </si>
  <si>
    <t>05F77</t>
  </si>
  <si>
    <t>05F78</t>
  </si>
  <si>
    <t>05F87</t>
  </si>
  <si>
    <t>05H07</t>
  </si>
  <si>
    <t>05H34</t>
  </si>
  <si>
    <t>05H42</t>
  </si>
  <si>
    <t>05H44</t>
  </si>
  <si>
    <t>05H45</t>
  </si>
  <si>
    <t>05H56</t>
  </si>
  <si>
    <t>05M72</t>
  </si>
  <si>
    <t>05P24</t>
  </si>
  <si>
    <t>05P73</t>
  </si>
  <si>
    <t>05W05</t>
  </si>
  <si>
    <t>05X31</t>
  </si>
  <si>
    <t>05X43</t>
  </si>
  <si>
    <t>05X51</t>
  </si>
  <si>
    <t>05X56</t>
  </si>
  <si>
    <t>05X70</t>
  </si>
  <si>
    <t>05X72</t>
  </si>
  <si>
    <t>05Z35</t>
  </si>
  <si>
    <t>05Z55</t>
  </si>
  <si>
    <t>05Q03</t>
  </si>
  <si>
    <t>06F84</t>
  </si>
  <si>
    <t>06F86</t>
  </si>
  <si>
    <t>06F87</t>
  </si>
  <si>
    <t>06F88</t>
  </si>
  <si>
    <t>06F92</t>
  </si>
  <si>
    <t>06F93</t>
  </si>
  <si>
    <t>06F94</t>
  </si>
  <si>
    <t>06F99</t>
  </si>
  <si>
    <t>06G05</t>
  </si>
  <si>
    <t>06G19</t>
  </si>
  <si>
    <t>06G30</t>
  </si>
  <si>
    <t>06G31</t>
  </si>
  <si>
    <t>06G34</t>
  </si>
  <si>
    <t>06G35</t>
  </si>
  <si>
    <t>06G53</t>
  </si>
  <si>
    <t>06G57</t>
  </si>
  <si>
    <t>06G59</t>
  </si>
  <si>
    <t>06G60</t>
  </si>
  <si>
    <t>06G62</t>
  </si>
  <si>
    <t>06G64</t>
  </si>
  <si>
    <t>06G65</t>
  </si>
  <si>
    <t>06G66</t>
  </si>
  <si>
    <t>06G68</t>
  </si>
  <si>
    <t>06G70</t>
  </si>
  <si>
    <t>06G78</t>
  </si>
  <si>
    <t>06G90</t>
  </si>
  <si>
    <t>06G91</t>
  </si>
  <si>
    <t>06G93</t>
  </si>
  <si>
    <t>06G94</t>
  </si>
  <si>
    <t>06G96</t>
  </si>
  <si>
    <t>06G99</t>
  </si>
  <si>
    <t>06H05</t>
  </si>
  <si>
    <t>06H12</t>
  </si>
  <si>
    <t>06H18</t>
  </si>
  <si>
    <t>06H19</t>
  </si>
  <si>
    <t>06H21</t>
  </si>
  <si>
    <t>06H28</t>
  </si>
  <si>
    <t>06H32</t>
  </si>
  <si>
    <t>06H36</t>
  </si>
  <si>
    <t>06H49</t>
  </si>
  <si>
    <t>06H64</t>
  </si>
  <si>
    <t>06H77</t>
  </si>
  <si>
    <t>06H89</t>
  </si>
  <si>
    <t>06H90</t>
  </si>
  <si>
    <t>06h98</t>
  </si>
  <si>
    <t>06h99</t>
  </si>
  <si>
    <t>06K12</t>
  </si>
  <si>
    <t>06K13</t>
  </si>
  <si>
    <t>06K16</t>
  </si>
  <si>
    <t>06K18</t>
  </si>
  <si>
    <t>06K22</t>
  </si>
  <si>
    <t>06K25</t>
  </si>
  <si>
    <t>06K33</t>
  </si>
  <si>
    <t>06K38</t>
  </si>
  <si>
    <t>06K47</t>
  </si>
  <si>
    <t>06K50</t>
  </si>
  <si>
    <t>06K54</t>
  </si>
  <si>
    <t>06K57</t>
  </si>
  <si>
    <t>06K65</t>
  </si>
  <si>
    <t>06K77</t>
  </si>
  <si>
    <t>06K99</t>
  </si>
  <si>
    <t>06P08</t>
  </si>
  <si>
    <t>06W01</t>
  </si>
  <si>
    <t>06W03</t>
  </si>
  <si>
    <t>06W04</t>
  </si>
  <si>
    <t>06W14</t>
  </si>
  <si>
    <t>06W27</t>
  </si>
  <si>
    <t>06W28</t>
  </si>
  <si>
    <t>06W32</t>
  </si>
  <si>
    <t>06X15</t>
  </si>
  <si>
    <t>06X28</t>
  </si>
  <si>
    <t>07A25</t>
  </si>
  <si>
    <t>07A42</t>
  </si>
  <si>
    <t>07A43</t>
  </si>
  <si>
    <t>07A60</t>
  </si>
  <si>
    <t>07B10</t>
  </si>
  <si>
    <t>08A72</t>
  </si>
  <si>
    <t>08A73</t>
  </si>
  <si>
    <t>08A84</t>
  </si>
  <si>
    <t>08F10</t>
  </si>
  <si>
    <t>08F19</t>
  </si>
  <si>
    <t>09D47</t>
  </si>
  <si>
    <t>1JM43</t>
  </si>
  <si>
    <t>2JM19</t>
  </si>
  <si>
    <t>2JM20</t>
  </si>
  <si>
    <t>60A28</t>
  </si>
  <si>
    <t>60A30</t>
  </si>
  <si>
    <t>1B849</t>
  </si>
  <si>
    <t>1C078</t>
  </si>
  <si>
    <t>1C109</t>
  </si>
  <si>
    <t>1C184</t>
  </si>
  <si>
    <t>1C548</t>
  </si>
  <si>
    <r>
      <rPr>
        <sz val="11"/>
        <rFont val="맑은 고딕"/>
        <family val="3"/>
        <charset val="129"/>
      </rPr>
      <t>HSBC??</t>
    </r>
    <r>
      <rPr>
        <sz val="11"/>
        <rFont val="Noto Sans CJK SC"/>
        <family val="2"/>
      </rPr>
      <t>하나자산아님</t>
    </r>
  </si>
  <si>
    <t>3G001</t>
  </si>
  <si>
    <t>3G002</t>
  </si>
  <si>
    <t>3G003</t>
  </si>
  <si>
    <t>3G004</t>
  </si>
  <si>
    <t>3G121</t>
  </si>
  <si>
    <t>3G137</t>
  </si>
  <si>
    <t>3G151</t>
  </si>
  <si>
    <t>3G226</t>
  </si>
  <si>
    <t>3G273</t>
  </si>
  <si>
    <t>3G333</t>
  </si>
  <si>
    <t>3G372</t>
  </si>
  <si>
    <t>3G486</t>
  </si>
  <si>
    <t>3G491</t>
  </si>
  <si>
    <t>3G492</t>
  </si>
  <si>
    <t>3G571</t>
  </si>
  <si>
    <t>3G601</t>
  </si>
  <si>
    <t>3G621</t>
  </si>
  <si>
    <t>3G642</t>
  </si>
  <si>
    <t>3G661</t>
  </si>
  <si>
    <t>3G723</t>
  </si>
  <si>
    <t>3G731</t>
  </si>
  <si>
    <t>3G741</t>
  </si>
  <si>
    <t>3G791</t>
  </si>
  <si>
    <t>3G911</t>
  </si>
  <si>
    <t>1M3000</t>
  </si>
  <si>
    <t>1MI1600</t>
  </si>
  <si>
    <t>2M9600</t>
  </si>
  <si>
    <t>2MFB00</t>
  </si>
  <si>
    <t>5F16</t>
  </si>
  <si>
    <t>5S13</t>
  </si>
  <si>
    <t>5S15</t>
  </si>
  <si>
    <t>5S16</t>
  </si>
  <si>
    <t>5S27</t>
  </si>
  <si>
    <t>5S28</t>
  </si>
  <si>
    <t>7S01</t>
  </si>
  <si>
    <t>7S02</t>
  </si>
  <si>
    <t>7S03</t>
  </si>
  <si>
    <t>7S05</t>
  </si>
  <si>
    <t>7S10</t>
  </si>
  <si>
    <t>CD01</t>
  </si>
  <si>
    <t>CD12</t>
  </si>
  <si>
    <t>CE01</t>
  </si>
  <si>
    <t>CE05</t>
  </si>
  <si>
    <t>CF01</t>
  </si>
  <si>
    <t>CF02</t>
  </si>
  <si>
    <t>CF03</t>
  </si>
  <si>
    <t>CF04</t>
  </si>
  <si>
    <t>CF05</t>
  </si>
  <si>
    <t>CF06</t>
  </si>
  <si>
    <t>CF07</t>
  </si>
  <si>
    <t>CF08</t>
  </si>
  <si>
    <t>CF09</t>
  </si>
  <si>
    <t>CF10</t>
  </si>
  <si>
    <t>CF11</t>
  </si>
  <si>
    <t>CF13</t>
  </si>
  <si>
    <t>CF14</t>
  </si>
  <si>
    <t>CF15</t>
  </si>
  <si>
    <t>CF16</t>
  </si>
  <si>
    <t>CF17</t>
  </si>
  <si>
    <t>CF18</t>
  </si>
  <si>
    <t>CF19</t>
  </si>
  <si>
    <t>CF20</t>
  </si>
  <si>
    <t>CF21</t>
  </si>
  <si>
    <t>CF22</t>
  </si>
  <si>
    <t>CF23</t>
  </si>
  <si>
    <t>CF24</t>
  </si>
  <si>
    <t>CH01</t>
  </si>
  <si>
    <t>CH08</t>
  </si>
  <si>
    <t>CH33</t>
  </si>
  <si>
    <t>CI01</t>
  </si>
  <si>
    <t>CI10</t>
  </si>
  <si>
    <t>CI14</t>
  </si>
  <si>
    <t>CI15</t>
  </si>
  <si>
    <t>CI17</t>
  </si>
  <si>
    <t>CI21</t>
  </si>
  <si>
    <t>CK01</t>
  </si>
  <si>
    <t>CK02</t>
  </si>
  <si>
    <t>G001</t>
  </si>
  <si>
    <t>G002</t>
  </si>
  <si>
    <t>G003</t>
  </si>
  <si>
    <t>G084</t>
  </si>
  <si>
    <t>KZ18</t>
  </si>
  <si>
    <t>KZ19</t>
  </si>
  <si>
    <t>SH01</t>
  </si>
  <si>
    <t>SM01</t>
  </si>
  <si>
    <t>SM02</t>
  </si>
  <si>
    <t>TF01</t>
  </si>
  <si>
    <t>TF10</t>
  </si>
  <si>
    <t>TF20</t>
  </si>
  <si>
    <t>TF30</t>
  </si>
  <si>
    <t>TF40</t>
  </si>
  <si>
    <t>TF50</t>
  </si>
  <si>
    <t>V002</t>
  </si>
  <si>
    <t>V003</t>
  </si>
  <si>
    <t>V004</t>
  </si>
  <si>
    <t>V014</t>
  </si>
  <si>
    <t>V015</t>
  </si>
  <si>
    <t>VM01</t>
  </si>
  <si>
    <t>FT01</t>
  </si>
  <si>
    <t>FT18</t>
  </si>
  <si>
    <t>FL01</t>
  </si>
  <si>
    <t>T031</t>
  </si>
  <si>
    <t>FL18</t>
  </si>
  <si>
    <t>CB01</t>
  </si>
  <si>
    <t>06Z65</t>
  </si>
  <si>
    <t>NHIS</t>
  </si>
  <si>
    <t>07A59</t>
  </si>
  <si>
    <t>06W83</t>
  </si>
  <si>
    <t>Q032</t>
  </si>
  <si>
    <t>DL01</t>
  </si>
  <si>
    <t>PR04</t>
  </si>
  <si>
    <t>PR05</t>
  </si>
  <si>
    <t>PR06</t>
  </si>
  <si>
    <t>PR07</t>
  </si>
  <si>
    <t>TY59</t>
  </si>
  <si>
    <t>AI01</t>
  </si>
  <si>
    <t>GH07</t>
  </si>
  <si>
    <t>PH06</t>
  </si>
  <si>
    <t>M200</t>
  </si>
  <si>
    <t>PH07</t>
  </si>
  <si>
    <t>KH18</t>
  </si>
  <si>
    <t>KH19</t>
  </si>
  <si>
    <t>M280</t>
  </si>
  <si>
    <t>PM01</t>
  </si>
  <si>
    <t>08K49</t>
  </si>
  <si>
    <t>08K50</t>
  </si>
  <si>
    <t>07V11</t>
  </si>
  <si>
    <t>06W67</t>
  </si>
  <si>
    <t>06Z18</t>
  </si>
  <si>
    <t>ETF5</t>
  </si>
  <si>
    <t>FS02</t>
  </si>
  <si>
    <t>HL04</t>
  </si>
  <si>
    <t>HL06</t>
  </si>
  <si>
    <t>HL07</t>
  </si>
  <si>
    <t>TQ01</t>
  </si>
  <si>
    <t>MT01</t>
  </si>
  <si>
    <t>3D002</t>
  </si>
  <si>
    <t>TR01</t>
  </si>
  <si>
    <t>1F84</t>
  </si>
  <si>
    <t>1F91</t>
  </si>
  <si>
    <t>삼성증권</t>
  </si>
  <si>
    <t>18S0</t>
  </si>
  <si>
    <t>UH15</t>
  </si>
  <si>
    <t>UH14</t>
  </si>
  <si>
    <t>HK51</t>
  </si>
  <si>
    <t>06Y39</t>
  </si>
  <si>
    <t>SS14</t>
  </si>
  <si>
    <t>SS15</t>
  </si>
  <si>
    <t>06Z71</t>
  </si>
  <si>
    <t>03V65</t>
  </si>
  <si>
    <t>AI02</t>
  </si>
  <si>
    <t>1C678</t>
  </si>
  <si>
    <t>WOORI_SEC</t>
  </si>
  <si>
    <t>1C701</t>
  </si>
  <si>
    <t>4JM48</t>
  </si>
  <si>
    <t>M190</t>
  </si>
  <si>
    <t>08K86</t>
  </si>
  <si>
    <t>M180</t>
  </si>
  <si>
    <t>1C762</t>
  </si>
  <si>
    <t>M320</t>
  </si>
  <si>
    <t>08K59</t>
  </si>
  <si>
    <t>08L53</t>
  </si>
  <si>
    <t>08L77</t>
  </si>
  <si>
    <t>08L82</t>
  </si>
  <si>
    <t>FB28</t>
  </si>
  <si>
    <t>09C67</t>
  </si>
  <si>
    <t>1C761</t>
  </si>
  <si>
    <t>1C677</t>
  </si>
  <si>
    <t>1B55</t>
  </si>
  <si>
    <t>SAMSUNG_SEC</t>
  </si>
  <si>
    <t>Q072</t>
  </si>
  <si>
    <t>06w85</t>
  </si>
  <si>
    <t>06w86</t>
  </si>
  <si>
    <t>TU01</t>
  </si>
  <si>
    <t>06Z11</t>
  </si>
  <si>
    <t>08M82</t>
  </si>
  <si>
    <t>08M83</t>
  </si>
  <si>
    <t>1C301</t>
  </si>
  <si>
    <t>08N22</t>
  </si>
  <si>
    <t>HL05</t>
  </si>
  <si>
    <t>M330</t>
  </si>
  <si>
    <t>Q300</t>
  </si>
  <si>
    <t>UI01</t>
  </si>
  <si>
    <t>Q058</t>
  </si>
  <si>
    <t>UI32</t>
  </si>
  <si>
    <t>1B38</t>
  </si>
  <si>
    <t>1B74</t>
  </si>
  <si>
    <t>1B49</t>
  </si>
  <si>
    <t>1B64</t>
  </si>
  <si>
    <t>5S39</t>
  </si>
  <si>
    <t>Q600</t>
  </si>
  <si>
    <t>Q085</t>
  </si>
  <si>
    <t>PS05</t>
  </si>
  <si>
    <t>WE01</t>
  </si>
  <si>
    <t>ETF4</t>
  </si>
  <si>
    <t>ETFC</t>
  </si>
  <si>
    <t>5S46</t>
  </si>
  <si>
    <t>08P29</t>
  </si>
  <si>
    <t>08P33</t>
  </si>
  <si>
    <t>DP01</t>
  </si>
  <si>
    <t>KZ26</t>
  </si>
  <si>
    <t>Q001</t>
  </si>
  <si>
    <t>Q610</t>
  </si>
  <si>
    <t>12570, 12616, 1C762</t>
  </si>
  <si>
    <r>
      <rPr>
        <sz val="11"/>
        <rFont val="맑은 고딕"/>
        <family val="3"/>
        <charset val="129"/>
      </rPr>
      <t>SHB-&gt;HANA(3/16</t>
    </r>
    <r>
      <rPr>
        <sz val="11"/>
        <rFont val="Noto Sans CJK SC"/>
        <family val="2"/>
      </rPr>
      <t>이후</t>
    </r>
    <r>
      <rPr>
        <sz val="11"/>
        <rFont val="맑은 고딕"/>
        <family val="3"/>
        <charset val="129"/>
      </rPr>
      <t>)</t>
    </r>
  </si>
  <si>
    <t>Q163</t>
  </si>
  <si>
    <t>Q144</t>
  </si>
  <si>
    <t>BI01</t>
  </si>
  <si>
    <t>약칭(첫단어)</t>
  </si>
  <si>
    <t>정식 상호명</t>
  </si>
  <si>
    <t>키움</t>
  </si>
  <si>
    <t>키움투자자산운용(주)</t>
  </si>
  <si>
    <t>※ 딜티켓 CUSTOMER의 첫 단어로 매칭됩니다. (예: "우리 FXC" → "우리")</t>
  </si>
  <si>
    <t>우리</t>
  </si>
  <si>
    <t>우리자산운용</t>
  </si>
  <si>
    <t>※ 목록에 없으면 CUSTOMER 입력값이 그대로 표시됩니다. 신규 거래처는 행 추가하세요.</t>
  </si>
  <si>
    <t>유진</t>
  </si>
  <si>
    <t>유진자산운용(주)</t>
  </si>
  <si>
    <t>카디안</t>
  </si>
  <si>
    <t>카디안자산운용(주)</t>
  </si>
  <si>
    <t>한국투자신탁운용(주)</t>
  </si>
  <si>
    <t>운용사 탭 이름</t>
  </si>
  <si>
    <r>
      <rPr>
        <sz val="9"/>
        <color rgb="FF808080"/>
        <rFont val="Noto Sans CJK SC"/>
        <family val="2"/>
      </rPr>
      <t>※ 운용사별 펀드코드 탭을 만들고</t>
    </r>
    <r>
      <rPr>
        <sz val="9"/>
        <color rgb="FF808080"/>
        <rFont val="맑은 고딕"/>
        <family val="3"/>
        <charset val="129"/>
      </rPr>
      <t xml:space="preserve">, </t>
    </r>
    <r>
      <rPr>
        <sz val="9"/>
        <color rgb="FF808080"/>
        <rFont val="Noto Sans CJK SC"/>
        <family val="2"/>
      </rPr>
      <t>그 탭 이름을 이 목록</t>
    </r>
    <r>
      <rPr>
        <sz val="9"/>
        <color rgb="FF808080"/>
        <rFont val="맑은 고딕"/>
        <family val="3"/>
        <charset val="129"/>
      </rPr>
      <t>(A2~A6)</t>
    </r>
    <r>
      <rPr>
        <sz val="9"/>
        <color rgb="FF808080"/>
        <rFont val="Noto Sans CJK SC"/>
        <family val="2"/>
      </rPr>
      <t>에 적으세요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</si>
  <si>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Noto Sans CJK SC"/>
        <family val="2"/>
      </rPr>
      <t>※ 딜티켓 조회 순서</t>
    </r>
    <r>
      <rPr>
        <sz val="9"/>
        <color rgb="FF808080"/>
        <rFont val="맑은 고딕"/>
        <family val="3"/>
        <charset val="129"/>
      </rPr>
      <t xml:space="preserve">: ① </t>
    </r>
    <r>
      <rPr>
        <sz val="9"/>
        <color rgb="FF808080"/>
        <rFont val="Noto Sans CJK SC"/>
        <family val="2"/>
      </rPr>
      <t>펀드목록 → ② 이 목록의 탭들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</rPr>
      <t>위에서부터</t>
    </r>
    <r>
      <rPr>
        <sz val="9"/>
        <color rgb="FF808080"/>
        <rFont val="맑은 고딕"/>
        <family val="3"/>
        <charset val="129"/>
      </rPr>
      <t xml:space="preserve">). </t>
    </r>
    <r>
      <rPr>
        <sz val="9"/>
        <color rgb="FF808080"/>
        <rFont val="Noto Sans CJK SC"/>
        <family val="2"/>
      </rPr>
      <t xml:space="preserve">최대 </t>
    </r>
    <r>
      <rPr>
        <sz val="9"/>
        <color rgb="FF808080"/>
        <rFont val="맑은 고딕"/>
        <family val="3"/>
        <charset val="129"/>
      </rPr>
      <t>5</t>
    </r>
    <r>
      <rPr>
        <sz val="9"/>
        <color rgb="FF808080"/>
        <rFont val="Noto Sans CJK SC"/>
        <family val="2"/>
      </rPr>
      <t>개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</si>
  <si>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Noto Sans CJK SC"/>
        <family val="2"/>
      </rPr>
      <t>※ 운용사 탭 형식</t>
    </r>
    <r>
      <rPr>
        <sz val="9"/>
        <color rgb="FF808080"/>
        <rFont val="맑은 고딕"/>
        <family val="3"/>
        <charset val="129"/>
      </rPr>
      <t>: A</t>
    </r>
    <r>
      <rPr>
        <sz val="9"/>
        <color rgb="FF808080"/>
        <rFont val="Noto Sans CJK SC"/>
        <family val="2"/>
      </rPr>
      <t>열</t>
    </r>
    <r>
      <rPr>
        <sz val="9"/>
        <color rgb="FF808080"/>
        <rFont val="맑은 고딕"/>
        <family val="3"/>
        <charset val="129"/>
      </rPr>
      <t>=</t>
    </r>
    <r>
      <rPr>
        <sz val="9"/>
        <color rgb="FF808080"/>
        <rFont val="Noto Sans CJK SC"/>
        <family val="2"/>
      </rPr>
      <t>펀드코드</t>
    </r>
    <r>
      <rPr>
        <sz val="9"/>
        <color rgb="FF808080"/>
        <rFont val="맑은 고딕"/>
        <family val="3"/>
        <charset val="129"/>
      </rPr>
      <t>, B</t>
    </r>
    <r>
      <rPr>
        <sz val="9"/>
        <color rgb="FF808080"/>
        <rFont val="Noto Sans CJK SC"/>
        <family val="2"/>
      </rPr>
      <t>열</t>
    </r>
    <r>
      <rPr>
        <sz val="9"/>
        <color rgb="FF808080"/>
        <rFont val="맑은 고딕"/>
        <family val="3"/>
        <charset val="129"/>
      </rPr>
      <t>=</t>
    </r>
    <r>
      <rPr>
        <sz val="9"/>
        <color rgb="FF808080"/>
        <rFont val="Noto Sans CJK SC"/>
        <family val="2"/>
      </rPr>
      <t xml:space="preserve">수탁은행 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</rPr>
      <t>펀드목록과 동일</t>
    </r>
    <r>
      <rPr>
        <sz val="9"/>
        <color rgb="FF808080"/>
        <rFont val="맑은 고딕"/>
        <family val="3"/>
        <charset val="129"/>
      </rPr>
      <t>)</t>
    </r>
  </si>
  <si>
    <t>FB20</t>
  </si>
  <si>
    <r>
      <rPr>
        <sz val="9"/>
        <color rgb="FF808080"/>
        <rFont val="Noto Sans CJK SC"/>
        <family val="2"/>
      </rPr>
      <t>※ 예시 행입니다</t>
    </r>
    <r>
      <rPr>
        <sz val="9"/>
        <color rgb="FF808080"/>
        <rFont val="맑은 고딕"/>
        <family val="3"/>
        <charset val="129"/>
      </rPr>
      <t xml:space="preserve">. </t>
    </r>
    <r>
      <rPr>
        <sz val="9"/>
        <color rgb="FF808080"/>
        <rFont val="Noto Sans CJK SC"/>
        <family val="2"/>
      </rPr>
      <t>실제 코드로 교체하세요</t>
    </r>
    <r>
      <rPr>
        <sz val="9"/>
        <color rgb="FF808080"/>
        <rFont val="맑은 고딕"/>
        <family val="3"/>
        <charset val="129"/>
      </rPr>
      <t>.</t>
    </r>
  </si>
  <si>
    <t>FB20</t>
    <phoneticPr fontId="9" type="noConversion"/>
  </si>
  <si>
    <t>언이븐 바로커버(더 큰방향)</t>
    <phoneticPr fontId="9" type="noConversion"/>
  </si>
  <si>
    <t>언와인딩 B/S(딜리버리)</t>
    <phoneticPr fontId="9" type="noConversion"/>
  </si>
  <si>
    <t>일반적인 스왑 S/B</t>
    <phoneticPr fontId="9" type="noConversion"/>
  </si>
  <si>
    <t xml:space="preserve">언와인딩 B/S/S(차액정산) </t>
    <phoneticPr fontId="9" type="noConversion"/>
  </si>
  <si>
    <t>가격 (-) 면 로이터 (+), 딜티켓 위쪽 (+) , 서밋 (-)</t>
  </si>
  <si>
    <t>outright forward는 가격주고 SPOT환율 불러주기(커버)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</si>
</sst>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76" formatCode="[$-409]m/d/yyyy"/>
    <numFmt numFmtId="177" formatCode="_-* #,##0.00_-;\-* #,##0.00_-;_-* \-_-;_-@_-"/>
    <numFmt numFmtId="178" formatCode="mm&quot;월 &quot;dd&quot;일&quot;"/>
    <numFmt numFmtId="179" formatCode="0.00000"/>
    <numFmt numFmtId="180" formatCode="0.00_ "/>
    <numFmt numFmtId="181" formatCode="#,##0_ "/>
    <numFmt numFmtId="182" formatCode="0.00##"/>
    <numFmt numFmtId="183" formatCode="yyyy\/m\/d;@"/>
    <numFmt numFmtId="184" formatCode="#,##0.00_ "/>
    <numFmt numFmtId="185" formatCode="_-* #,##0_-;\-* #,##0_-;_-* \-_-;_-@_-"/>
    <numFmt numFmtId="186" formatCode="0.0000_ "/>
    <numFmt numFmtId="187" formatCode="_-* #,##0.0_-;\-* #,##0.0_-;_-* \-?_-;_-@_-"/>
    <numFmt numFmtId="188" formatCode="0.00000_ "/>
    <numFmt numFmtId="189" formatCode="0_);[Red]\(0\)"/>
    <numFmt numFmtId="190" formatCode="yyyy\-mm\-dd"/>
    <numFmt numFmtId="191" formatCode="[$-409]d\-mmm\-yy;@"/>
    <numFmt numFmtId="192" formatCode="\₩#,##0_);[Red]&quot;(₩&quot;#,##0\)"/>
    <numFmt numFmtId="193" formatCode="yyyy&quot;년 &quot;m&quot;월 &quot;d&quot;일&quot;;@"/>
    <numFmt numFmtId="194" formatCode="0.0000_);[Red]\(0.0000\)"/>
    <numFmt numFmtId="195" formatCode="0.00_);[Red]\(0.00\)"/>
    <numFmt numFmtId="196" formatCode="\₩#,##0"/>
    <numFmt numFmtId="197" formatCode="_-* #,##0.00_-;\-* #,##0.00_-;_-* \-??_-;_-@_-"/>
    <numFmt numFmtId="198" formatCode="yyyy\-m\-d;@"/>
    <numFmt numFmtId="199" formatCode="#,##0.00000"/>
    <numFmt numFmtId="200" formatCode="yyyy/mm/dd;@"/>
  </numFmts>
  <fonts count="74">
    <font>
      <sz val="11"/>
      <name val="돋움"/>
      <family val="3"/>
      <charset val="129"/>
    </font>
    <font>
      <sz val="10.5"/>
      <name val="Frutiger 45 Light"/>
      <family val="2"/>
      <charset val="1"/>
    </font>
    <font>
      <sz val="11"/>
      <color rgb="FF000000"/>
      <name val="맑은 고딕"/>
      <family val="3"/>
      <charset val="129"/>
    </font>
    <font>
      <sz val="10"/>
      <name val="돋움"/>
      <family val="3"/>
      <charset val="129"/>
    </font>
    <font>
      <sz val="9"/>
      <color rgb="FFFF0000"/>
      <name val="돋움"/>
      <family val="3"/>
      <charset val="129"/>
    </font>
    <font>
      <b/>
      <sz val="11"/>
      <name val="돋움"/>
      <family val="3"/>
      <charset val="129"/>
    </font>
    <font>
      <b/>
      <sz val="14"/>
      <name val="돋움"/>
      <family val="3"/>
      <charset val="129"/>
    </font>
    <font>
      <sz val="9"/>
      <name val="돋움"/>
      <family val="3"/>
      <charset val="129"/>
    </font>
    <font>
      <sz val="10"/>
      <name val="Noto Sans CJK SC"/>
      <family val="2"/>
      <charset val="1"/>
    </font>
    <font>
      <sz val="8"/>
      <name val="돋움"/>
      <family val="3"/>
      <charset val="129"/>
    </font>
    <font>
      <b/>
      <sz val="10"/>
      <name val="Noto Sans CJK SC"/>
      <family val="2"/>
    </font>
    <font>
      <sz val="10"/>
      <color rgb="FF333333"/>
      <name val="맑은 고딕"/>
      <family val="3"/>
      <charset val="129"/>
    </font>
    <font>
      <sz val="10"/>
      <color rgb="FF0000FF"/>
      <name val="돋움"/>
      <family val="3"/>
      <charset val="129"/>
    </font>
    <font>
      <sz val="9"/>
      <color rgb="FF008000"/>
      <name val="돋움"/>
      <family val="3"/>
      <charset val="129"/>
    </font>
    <font>
      <sz val="9.5"/>
      <color rgb="FF008000"/>
      <name val="돋움"/>
      <family val="3"/>
      <charset val="129"/>
    </font>
    <font>
      <sz val="10"/>
      <name val="맑은 고딕"/>
      <family val="3"/>
      <charset val="129"/>
    </font>
    <font>
      <sz val="9"/>
      <color rgb="FFFFFFFF"/>
      <name val="Arial"/>
      <family val="2"/>
      <charset val="1"/>
    </font>
    <font>
      <b/>
      <sz val="9"/>
      <color rgb="FF333333"/>
      <name val="돋움"/>
      <family val="3"/>
      <charset val="129"/>
    </font>
    <font>
      <sz val="10"/>
      <color rgb="FF008000"/>
      <name val="돋움"/>
      <family val="3"/>
      <charset val="129"/>
    </font>
    <font>
      <sz val="10"/>
      <color rgb="FF0000FF"/>
      <name val="Arial"/>
      <family val="2"/>
      <charset val="1"/>
    </font>
    <font>
      <b/>
      <sz val="9"/>
      <name val="돋움"/>
      <family val="3"/>
      <charset val="129"/>
    </font>
    <font>
      <sz val="10"/>
      <color rgb="FFFF0000"/>
      <name val="돋움"/>
      <family val="3"/>
      <charset val="129"/>
    </font>
    <font>
      <b/>
      <sz val="10"/>
      <color rgb="FFFF0000"/>
      <name val="돋움"/>
      <family val="3"/>
      <charset val="129"/>
    </font>
    <font>
      <b/>
      <sz val="14"/>
      <name val="맑은 고딕"/>
      <family val="3"/>
      <charset val="129"/>
    </font>
    <font>
      <b/>
      <sz val="18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b/>
      <sz val="10"/>
      <name val="Noto Sans CJK SC"/>
      <family val="2"/>
      <charset val="1"/>
    </font>
    <font>
      <sz val="10"/>
      <color rgb="FF0000FF"/>
      <name val="Noto Sans CJK SC"/>
      <family val="2"/>
      <charset val="1"/>
    </font>
    <font>
      <sz val="10"/>
      <color rgb="FF0000FF"/>
      <name val="맑은 고딕"/>
      <family val="3"/>
      <charset val="129"/>
    </font>
    <font>
      <sz val="9"/>
      <name val="맑은 고딕"/>
      <family val="3"/>
      <charset val="129"/>
    </font>
    <font>
      <sz val="9"/>
      <name val="Noto Sans CJK SC"/>
      <family val="2"/>
    </font>
    <font>
      <sz val="9"/>
      <color rgb="FF808080"/>
      <name val="맑은 고딕"/>
      <family val="3"/>
      <charset val="129"/>
    </font>
    <font>
      <sz val="9"/>
      <color rgb="FF808080"/>
      <name val="Noto Sans CJK SC"/>
      <family val="2"/>
    </font>
    <font>
      <sz val="9"/>
      <color rgb="FF808080"/>
      <name val="맑은 고딕"/>
      <family val="3"/>
      <charset val="129"/>
    </font>
    <font>
      <sz val="12"/>
      <name val="Arial Narrow"/>
      <family val="2"/>
      <charset val="1"/>
    </font>
    <font>
      <b/>
      <sz val="16"/>
      <name val="Arial Narrow"/>
      <family val="2"/>
      <charset val="1"/>
    </font>
    <font>
      <b/>
      <sz val="12"/>
      <color rgb="FFFFFFFF"/>
      <name val="Arial Narrow"/>
      <family val="2"/>
      <charset val="1"/>
    </font>
    <font>
      <sz val="12"/>
      <color rgb="FFFFFFFF"/>
      <name val="Arial Narrow"/>
      <family val="2"/>
      <charset val="1"/>
    </font>
    <font>
      <sz val="11"/>
      <name val="Arial Narrow"/>
      <family val="2"/>
      <charset val="1"/>
    </font>
    <font>
      <b/>
      <sz val="11"/>
      <name val="Arial Narrow"/>
      <family val="2"/>
      <charset val="1"/>
    </font>
    <font>
      <sz val="11"/>
      <name val="Noto Sans CJK SC"/>
      <family val="2"/>
      <charset val="1"/>
    </font>
    <font>
      <sz val="13"/>
      <name val="Arial Narrow"/>
      <family val="2"/>
      <charset val="1"/>
    </font>
    <font>
      <b/>
      <sz val="12"/>
      <name val="Arial Narrow"/>
      <family val="2"/>
      <charset val="1"/>
    </font>
    <font>
      <b/>
      <sz val="12"/>
      <name val="Noto Sans CJK SC"/>
      <family val="2"/>
    </font>
    <font>
      <sz val="10"/>
      <name val="Arial Narrow"/>
      <family val="2"/>
      <charset val="1"/>
    </font>
    <font>
      <sz val="12"/>
      <name val="돋움"/>
      <family val="3"/>
      <charset val="129"/>
    </font>
    <font>
      <sz val="15"/>
      <name val="Arial Narrow"/>
      <family val="2"/>
      <charset val="1"/>
    </font>
    <font>
      <sz val="15"/>
      <name val="Noto Sans CJK SC"/>
      <family val="2"/>
    </font>
    <font>
      <sz val="12"/>
      <name val="Noto Sans CJK SC"/>
      <family val="2"/>
      <charset val="1"/>
    </font>
    <font>
      <sz val="13"/>
      <color rgb="FF000000"/>
      <name val="Arial Narrow"/>
      <family val="2"/>
      <charset val="1"/>
    </font>
    <font>
      <b/>
      <sz val="12"/>
      <color rgb="FF000000"/>
      <name val="Arial Narrow"/>
      <family val="2"/>
      <charset val="1"/>
    </font>
    <font>
      <sz val="12"/>
      <color rgb="FF000000"/>
      <name val="Arial Narrow"/>
      <family val="2"/>
      <charset val="1"/>
    </font>
    <font>
      <sz val="12"/>
      <name val="맑은 고딕"/>
      <family val="3"/>
      <charset val="129"/>
    </font>
    <font>
      <b/>
      <sz val="11"/>
      <name val="Noto Sans CJK SC"/>
      <family val="2"/>
      <charset val="1"/>
    </font>
    <font>
      <b/>
      <sz val="13"/>
      <name val="Noto Sans CJK SC"/>
      <family val="2"/>
      <charset val="1"/>
    </font>
    <font>
      <b/>
      <sz val="13"/>
      <name val="Arial Narrow"/>
      <family val="2"/>
      <charset val="1"/>
    </font>
    <font>
      <b/>
      <sz val="13"/>
      <color rgb="FF333399"/>
      <name val="Arial Narrow"/>
      <family val="2"/>
      <charset val="1"/>
    </font>
    <font>
      <sz val="10"/>
      <name val="Noto Sans CJK SC"/>
      <family val="2"/>
    </font>
    <font>
      <b/>
      <sz val="13"/>
      <color rgb="FF7A9DBB"/>
      <name val="Arial Narrow"/>
      <family val="2"/>
      <charset val="1"/>
    </font>
    <font>
      <b/>
      <sz val="11"/>
      <name val="Noto Sans CJK SC"/>
      <family val="2"/>
    </font>
    <font>
      <b/>
      <sz val="14"/>
      <name val="Arial Narrow"/>
      <family val="2"/>
      <charset val="1"/>
    </font>
    <font>
      <sz val="11"/>
      <name val="Noto Sans CJK SC"/>
      <family val="2"/>
    </font>
    <font>
      <i/>
      <sz val="13"/>
      <name val="Arial Narrow"/>
      <family val="2"/>
      <charset val="1"/>
    </font>
    <font>
      <sz val="13"/>
      <name val="Noto Sans CJK SC"/>
      <family val="2"/>
      <charset val="1"/>
    </font>
    <font>
      <i/>
      <sz val="12"/>
      <name val="Arial Narrow"/>
      <family val="2"/>
      <charset val="1"/>
    </font>
    <font>
      <b/>
      <sz val="12"/>
      <color rgb="FF000000"/>
      <name val="Noto Sans CJK SC"/>
      <family val="2"/>
      <charset val="1"/>
    </font>
    <font>
      <sz val="11"/>
      <name val="맑은 고딕"/>
      <family val="3"/>
      <charset val="129"/>
    </font>
    <font>
      <sz val="11"/>
      <color rgb="FF000000"/>
      <name val="Noto Sans CJK SC"/>
      <family val="2"/>
      <charset val="1"/>
    </font>
    <font>
      <sz val="9"/>
      <color rgb="FF808080"/>
      <name val="Noto Sans CJK SC"/>
      <family val="2"/>
      <charset val="1"/>
    </font>
    <font>
      <sz val="11"/>
      <name val="돋움"/>
      <family val="3"/>
      <charset val="129"/>
    </font>
    <font>
      <sz val="11"/>
      <color rgb="FF000000"/>
      <name val="DejaVu Sans"/>
      <family val="3"/>
      <charset val="129"/>
    </font>
    <font>
      <sz val="11"/>
      <color rgb="FF000000"/>
      <name val="돋움"/>
      <family val="3"/>
      <charset val="129"/>
    </font>
    <font>
      <b/>
      <sz val="10"/>
      <name val="돋움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EAEAEA"/>
        <bgColor rgb="FFEFEBDE"/>
      </patternFill>
    </fill>
    <fill>
      <patternFill patternType="solid">
        <fgColor rgb="FFD0DCE6"/>
        <bgColor rgb="FFEAEAEA"/>
      </patternFill>
    </fill>
    <fill>
      <patternFill patternType="solid">
        <fgColor rgb="FFFFFF99"/>
        <bgColor rgb="FFFFF2CC"/>
      </patternFill>
    </fill>
    <fill>
      <patternFill patternType="solid">
        <fgColor rgb="FFF2F2F2"/>
        <bgColor rgb="FFEAF6F6"/>
      </patternFill>
    </fill>
    <fill>
      <patternFill patternType="solid">
        <fgColor rgb="FFFFF2CC"/>
        <bgColor rgb="FFEFEBDE"/>
      </patternFill>
    </fill>
    <fill>
      <patternFill patternType="solid">
        <fgColor rgb="FFEAF6F6"/>
        <bgColor rgb="FFF2F2F2"/>
      </patternFill>
    </fill>
    <fill>
      <patternFill patternType="solid">
        <fgColor rgb="FFEFEBDE"/>
        <bgColor rgb="FFEAEAEA"/>
      </patternFill>
    </fill>
    <fill>
      <patternFill patternType="solid">
        <fgColor rgb="FFFFCC99"/>
        <bgColor rgb="FFFFF2CC"/>
      </patternFill>
    </fill>
    <fill>
      <patternFill patternType="solid">
        <fgColor rgb="FFFFFF00"/>
        <bgColor rgb="FFFFFF00"/>
      </patternFill>
    </fill>
  </fills>
  <borders count="6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6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70" fillId="0" borderId="0">
      <alignment vertical="center"/>
    </xf>
    <xf numFmtId="0" fontId="70" fillId="0" borderId="0">
      <alignment vertical="center"/>
    </xf>
    <xf numFmtId="0" fontId="70" fillId="0" borderId="0">
      <alignment vertical="center"/>
    </xf>
  </cellStyleXfs>
  <cellXfs count="371">
    <xf numFmtId="0" fontId="0" fillId="0" borderId="0" xfId="0"/>
    <xf numFmtId="0" fontId="41" fillId="0" borderId="1" xfId="0" applyFont="1" applyBorder="1" applyAlignment="1">
      <alignment horizontal="center" vertical="center"/>
    </xf>
    <xf numFmtId="0" fontId="27" fillId="8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1" xfId="0" applyNumberFormat="1" applyFont="1" applyBorder="1" applyAlignment="1">
      <alignment vertical="center"/>
    </xf>
    <xf numFmtId="4" fontId="3" fillId="0" borderId="1" xfId="0" applyNumberFormat="1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8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vertical="center"/>
    </xf>
    <xf numFmtId="177" fontId="3" fillId="0" borderId="1" xfId="0" applyNumberFormat="1" applyFont="1" applyBorder="1" applyAlignment="1">
      <alignment vertical="center"/>
    </xf>
    <xf numFmtId="0" fontId="8" fillId="0" borderId="2" xfId="0" applyFont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176" fontId="3" fillId="0" borderId="0" xfId="0" applyNumberFormat="1" applyFont="1" applyAlignment="1">
      <alignment vertical="center"/>
    </xf>
    <xf numFmtId="4" fontId="3" fillId="0" borderId="0" xfId="0" applyNumberFormat="1" applyFont="1" applyAlignment="1">
      <alignment vertical="center"/>
    </xf>
    <xf numFmtId="178" fontId="3" fillId="0" borderId="3" xfId="0" applyNumberFormat="1" applyFont="1" applyBorder="1" applyAlignment="1">
      <alignment horizontal="left" vertical="center"/>
    </xf>
    <xf numFmtId="176" fontId="3" fillId="0" borderId="8" xfId="0" applyNumberFormat="1" applyFont="1" applyBorder="1" applyAlignment="1">
      <alignment horizontal="left" vertical="center"/>
    </xf>
    <xf numFmtId="179" fontId="3" fillId="2" borderId="1" xfId="0" applyNumberFormat="1" applyFont="1" applyFill="1" applyBorder="1" applyAlignment="1">
      <alignment vertical="center"/>
    </xf>
    <xf numFmtId="176" fontId="3" fillId="2" borderId="1" xfId="0" applyNumberFormat="1" applyFont="1" applyFill="1" applyBorder="1" applyAlignment="1">
      <alignment vertical="center"/>
    </xf>
    <xf numFmtId="4" fontId="3" fillId="2" borderId="1" xfId="0" applyNumberFormat="1" applyFont="1" applyFill="1" applyBorder="1" applyAlignment="1">
      <alignment vertical="center"/>
    </xf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180" fontId="9" fillId="0" borderId="9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1" fillId="0" borderId="10" xfId="0" applyFont="1" applyBorder="1" applyAlignment="1">
      <alignment vertical="center"/>
    </xf>
    <xf numFmtId="0" fontId="3" fillId="2" borderId="0" xfId="0" applyFont="1" applyFill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81" fontId="0" fillId="0" borderId="2" xfId="0" applyNumberFormat="1" applyBorder="1" applyAlignment="1">
      <alignment vertical="center"/>
    </xf>
    <xf numFmtId="182" fontId="3" fillId="2" borderId="2" xfId="0" applyNumberFormat="1" applyFont="1" applyFill="1" applyBorder="1" applyAlignment="1">
      <alignment horizontal="center" vertical="center"/>
    </xf>
    <xf numFmtId="182" fontId="12" fillId="2" borderId="4" xfId="0" applyNumberFormat="1" applyFont="1" applyFill="1" applyBorder="1" applyAlignment="1">
      <alignment vertical="center"/>
    </xf>
    <xf numFmtId="182" fontId="3" fillId="2" borderId="2" xfId="0" applyNumberFormat="1" applyFont="1" applyFill="1" applyBorder="1" applyAlignment="1">
      <alignment vertical="center"/>
    </xf>
    <xf numFmtId="2" fontId="13" fillId="4" borderId="2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183" fontId="13" fillId="2" borderId="6" xfId="0" applyNumberFormat="1" applyFont="1" applyFill="1" applyBorder="1" applyAlignment="1">
      <alignment horizontal="center" vertical="center"/>
    </xf>
    <xf numFmtId="178" fontId="14" fillId="0" borderId="6" xfId="0" applyNumberFormat="1" applyFont="1" applyBorder="1" applyAlignment="1">
      <alignment vertical="center"/>
    </xf>
    <xf numFmtId="49" fontId="15" fillId="0" borderId="0" xfId="0" applyNumberFormat="1" applyFont="1" applyAlignment="1">
      <alignment horizontal="center"/>
    </xf>
    <xf numFmtId="0" fontId="11" fillId="0" borderId="11" xfId="0" applyFont="1" applyBorder="1" applyAlignment="1">
      <alignment vertical="center"/>
    </xf>
    <xf numFmtId="0" fontId="14" fillId="0" borderId="6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176" fontId="3" fillId="0" borderId="13" xfId="0" applyNumberFormat="1" applyFont="1" applyBorder="1" applyAlignment="1">
      <alignment vertical="center"/>
    </xf>
    <xf numFmtId="176" fontId="3" fillId="2" borderId="14" xfId="0" applyNumberFormat="1" applyFont="1" applyFill="1" applyBorder="1" applyAlignment="1">
      <alignment vertical="center"/>
    </xf>
    <xf numFmtId="0" fontId="16" fillId="2" borderId="1" xfId="0" applyFont="1" applyFill="1" applyBorder="1" applyAlignment="1">
      <alignment horizontal="left" vertical="top" wrapText="1" indent="1"/>
    </xf>
    <xf numFmtId="0" fontId="15" fillId="0" borderId="0" xfId="0" applyFont="1" applyAlignment="1">
      <alignment horizontal="center"/>
    </xf>
    <xf numFmtId="176" fontId="3" fillId="0" borderId="15" xfId="0" applyNumberFormat="1" applyFont="1" applyBorder="1" applyAlignment="1">
      <alignment vertical="center"/>
    </xf>
    <xf numFmtId="4" fontId="3" fillId="0" borderId="15" xfId="0" applyNumberFormat="1" applyFont="1" applyBorder="1" applyAlignment="1">
      <alignment vertical="center"/>
    </xf>
    <xf numFmtId="176" fontId="3" fillId="0" borderId="12" xfId="0" applyNumberFormat="1" applyFont="1" applyBorder="1" applyAlignment="1">
      <alignment vertical="center"/>
    </xf>
    <xf numFmtId="4" fontId="3" fillId="0" borderId="12" xfId="0" applyNumberFormat="1" applyFont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182" fontId="3" fillId="0" borderId="2" xfId="0" applyNumberFormat="1" applyFont="1" applyBorder="1" applyAlignment="1">
      <alignment horizontal="center" vertical="center"/>
    </xf>
    <xf numFmtId="0" fontId="18" fillId="0" borderId="6" xfId="0" applyFont="1" applyBorder="1" applyAlignment="1">
      <alignment vertical="center"/>
    </xf>
    <xf numFmtId="2" fontId="3" fillId="2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vertical="center"/>
    </xf>
    <xf numFmtId="2" fontId="3" fillId="0" borderId="0" xfId="0" applyNumberFormat="1" applyFont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 applyAlignment="1">
      <alignment vertical="center"/>
    </xf>
    <xf numFmtId="2" fontId="3" fillId="2" borderId="0" xfId="0" applyNumberFormat="1" applyFont="1" applyFill="1" applyAlignment="1">
      <alignment vertical="center"/>
    </xf>
    <xf numFmtId="183" fontId="13" fillId="2" borderId="0" xfId="0" applyNumberFormat="1" applyFont="1" applyFill="1" applyAlignment="1">
      <alignment vertical="center"/>
    </xf>
    <xf numFmtId="0" fontId="18" fillId="0" borderId="0" xfId="0" applyFont="1" applyAlignment="1">
      <alignment vertical="center"/>
    </xf>
    <xf numFmtId="184" fontId="19" fillId="2" borderId="2" xfId="0" applyNumberFormat="1" applyFont="1" applyFill="1" applyBorder="1" applyAlignment="1">
      <alignment horizontal="right" vertical="center" wrapText="1"/>
    </xf>
    <xf numFmtId="177" fontId="4" fillId="0" borderId="2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5" borderId="5" xfId="0" applyFont="1" applyFill="1" applyBorder="1" applyAlignment="1">
      <alignment horizontal="left" vertical="center"/>
    </xf>
    <xf numFmtId="4" fontId="0" fillId="0" borderId="2" xfId="0" applyNumberFormat="1" applyBorder="1" applyAlignment="1">
      <alignment vertical="center"/>
    </xf>
    <xf numFmtId="177" fontId="4" fillId="0" borderId="5" xfId="0" applyNumberFormat="1" applyFont="1" applyBorder="1" applyAlignment="1">
      <alignment horizontal="center" vertical="center"/>
    </xf>
    <xf numFmtId="185" fontId="21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186" fontId="21" fillId="0" borderId="5" xfId="0" applyNumberFormat="1" applyFont="1" applyBorder="1" applyAlignment="1">
      <alignment horizontal="center" vertical="center"/>
    </xf>
    <xf numFmtId="180" fontId="22" fillId="0" borderId="5" xfId="0" applyNumberFormat="1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3" fillId="5" borderId="3" xfId="0" applyFont="1" applyFill="1" applyBorder="1" applyAlignment="1">
      <alignment horizontal="left" vertical="center"/>
    </xf>
    <xf numFmtId="187" fontId="21" fillId="0" borderId="5" xfId="0" applyNumberFormat="1" applyFont="1" applyBorder="1" applyAlignment="1">
      <alignment horizontal="center" vertical="center"/>
    </xf>
    <xf numFmtId="180" fontId="21" fillId="0" borderId="5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vertical="top"/>
    </xf>
    <xf numFmtId="0" fontId="3" fillId="0" borderId="16" xfId="0" applyFont="1" applyBorder="1" applyAlignment="1">
      <alignment horizontal="center" vertical="top"/>
    </xf>
    <xf numFmtId="180" fontId="3" fillId="0" borderId="16" xfId="0" applyNumberFormat="1" applyFont="1" applyBorder="1" applyAlignment="1">
      <alignment horizontal="center" vertical="top"/>
    </xf>
    <xf numFmtId="186" fontId="3" fillId="0" borderId="16" xfId="0" applyNumberFormat="1" applyFont="1" applyBorder="1" applyAlignment="1">
      <alignment horizontal="center" vertical="top"/>
    </xf>
    <xf numFmtId="188" fontId="7" fillId="0" borderId="16" xfId="0" applyNumberFormat="1" applyFont="1" applyBorder="1" applyAlignment="1">
      <alignment horizontal="center"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center" vertical="top"/>
    </xf>
    <xf numFmtId="180" fontId="3" fillId="0" borderId="0" xfId="0" applyNumberFormat="1" applyFont="1" applyAlignment="1">
      <alignment horizontal="center" vertical="top"/>
    </xf>
    <xf numFmtId="186" fontId="3" fillId="0" borderId="0" xfId="0" applyNumberFormat="1" applyFont="1" applyAlignment="1">
      <alignment horizontal="center" vertical="top"/>
    </xf>
    <xf numFmtId="188" fontId="7" fillId="0" borderId="0" xfId="0" applyNumberFormat="1" applyFont="1" applyAlignment="1">
      <alignment horizontal="center" vertical="top"/>
    </xf>
    <xf numFmtId="0" fontId="3" fillId="0" borderId="17" xfId="0" applyFont="1" applyBorder="1" applyAlignment="1">
      <alignment vertical="center"/>
    </xf>
    <xf numFmtId="178" fontId="3" fillId="0" borderId="0" xfId="0" applyNumberFormat="1" applyFont="1" applyAlignment="1">
      <alignment vertical="center"/>
    </xf>
    <xf numFmtId="0" fontId="3" fillId="5" borderId="0" xfId="0" applyFont="1" applyFill="1" applyAlignment="1">
      <alignment vertical="center"/>
    </xf>
    <xf numFmtId="185" fontId="5" fillId="0" borderId="0" xfId="0" applyNumberFormat="1" applyFont="1" applyAlignment="1">
      <alignment vertical="center"/>
    </xf>
    <xf numFmtId="2" fontId="13" fillId="2" borderId="2" xfId="0" applyNumberFormat="1" applyFont="1" applyFill="1" applyBorder="1" applyAlignment="1">
      <alignment vertical="center"/>
    </xf>
    <xf numFmtId="182" fontId="4" fillId="2" borderId="2" xfId="0" applyNumberFormat="1" applyFont="1" applyFill="1" applyBorder="1" applyAlignment="1">
      <alignment horizontal="center" vertical="center"/>
    </xf>
    <xf numFmtId="2" fontId="12" fillId="2" borderId="2" xfId="0" applyNumberFormat="1" applyFont="1" applyFill="1" applyBorder="1" applyAlignment="1">
      <alignment vertical="center"/>
    </xf>
    <xf numFmtId="0" fontId="3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184" fontId="19" fillId="0" borderId="2" xfId="0" applyNumberFormat="1" applyFont="1" applyBorder="1" applyAlignment="1">
      <alignment horizontal="right" vertical="center" wrapText="1"/>
    </xf>
    <xf numFmtId="2" fontId="7" fillId="0" borderId="2" xfId="0" applyNumberFormat="1" applyFont="1" applyBorder="1" applyAlignment="1">
      <alignment vertical="center"/>
    </xf>
    <xf numFmtId="180" fontId="4" fillId="0" borderId="5" xfId="0" applyNumberFormat="1" applyFont="1" applyBorder="1" applyAlignment="1">
      <alignment horizontal="center" vertical="center"/>
    </xf>
    <xf numFmtId="180" fontId="12" fillId="0" borderId="2" xfId="0" applyNumberFormat="1" applyFont="1" applyBorder="1" applyAlignment="1">
      <alignment vertical="center"/>
    </xf>
    <xf numFmtId="180" fontId="3" fillId="0" borderId="2" xfId="0" applyNumberFormat="1" applyFont="1" applyBorder="1" applyAlignment="1">
      <alignment vertical="center"/>
    </xf>
    <xf numFmtId="0" fontId="14" fillId="0" borderId="4" xfId="0" applyFont="1" applyBorder="1" applyAlignment="1">
      <alignment vertical="center"/>
    </xf>
    <xf numFmtId="189" fontId="13" fillId="0" borderId="5" xfId="0" applyNumberFormat="1" applyFont="1" applyBorder="1" applyAlignment="1">
      <alignment vertical="center"/>
    </xf>
    <xf numFmtId="183" fontId="13" fillId="0" borderId="5" xfId="0" applyNumberFormat="1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8" fillId="0" borderId="5" xfId="0" applyFont="1" applyBorder="1" applyAlignment="1">
      <alignment vertical="center"/>
    </xf>
    <xf numFmtId="186" fontId="4" fillId="0" borderId="5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left" vertical="center"/>
    </xf>
    <xf numFmtId="184" fontId="3" fillId="3" borderId="3" xfId="0" applyNumberFormat="1" applyFont="1" applyFill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vertical="center"/>
    </xf>
    <xf numFmtId="0" fontId="23" fillId="0" borderId="0" xfId="0" applyFont="1"/>
    <xf numFmtId="0" fontId="26" fillId="6" borderId="0" xfId="0" applyFont="1" applyFill="1"/>
    <xf numFmtId="0" fontId="25" fillId="6" borderId="0" xfId="0" applyFont="1" applyFill="1"/>
    <xf numFmtId="0" fontId="0" fillId="6" borderId="0" xfId="0" applyFill="1"/>
    <xf numFmtId="0" fontId="8" fillId="0" borderId="0" xfId="0" applyFont="1"/>
    <xf numFmtId="0" fontId="27" fillId="6" borderId="0" xfId="0" applyFont="1" applyFill="1"/>
    <xf numFmtId="0" fontId="28" fillId="7" borderId="0" xfId="0" applyFont="1" applyFill="1"/>
    <xf numFmtId="0" fontId="29" fillId="7" borderId="0" xfId="0" applyFont="1" applyFill="1"/>
    <xf numFmtId="0" fontId="25" fillId="0" borderId="0" xfId="0" applyFont="1" applyAlignment="1">
      <alignment horizontal="center" vertical="center"/>
    </xf>
    <xf numFmtId="4" fontId="25" fillId="0" borderId="0" xfId="0" applyNumberFormat="1" applyFont="1" applyAlignment="1">
      <alignment horizontal="right" vertical="center"/>
    </xf>
    <xf numFmtId="182" fontId="25" fillId="0" borderId="0" xfId="0" applyNumberFormat="1" applyFont="1" applyAlignment="1">
      <alignment horizontal="center" vertical="center"/>
    </xf>
    <xf numFmtId="190" fontId="25" fillId="0" borderId="0" xfId="0" applyNumberFormat="1" applyFont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5" fillId="0" borderId="0" xfId="0" applyFont="1"/>
    <xf numFmtId="0" fontId="0" fillId="0" borderId="16" xfId="0" applyBorder="1"/>
    <xf numFmtId="0" fontId="30" fillId="0" borderId="0" xfId="0" applyFont="1"/>
    <xf numFmtId="0" fontId="27" fillId="0" borderId="0" xfId="0" applyFont="1"/>
    <xf numFmtId="0" fontId="32" fillId="0" borderId="0" xfId="0" applyFont="1"/>
    <xf numFmtId="0" fontId="34" fillId="0" borderId="0" xfId="0" applyFont="1"/>
    <xf numFmtId="0" fontId="35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8" fillId="0" borderId="0" xfId="0" applyFont="1" applyAlignment="1">
      <alignment vertical="center"/>
    </xf>
    <xf numFmtId="0" fontId="39" fillId="0" borderId="18" xfId="0" applyFont="1" applyBorder="1" applyAlignment="1">
      <alignment horizontal="left" vertical="center"/>
    </xf>
    <xf numFmtId="0" fontId="39" fillId="0" borderId="16" xfId="0" applyFont="1" applyBorder="1" applyAlignment="1">
      <alignment vertical="center"/>
    </xf>
    <xf numFmtId="0" fontId="35" fillId="0" borderId="16" xfId="0" applyFont="1" applyBorder="1" applyAlignment="1">
      <alignment vertical="center"/>
    </xf>
    <xf numFmtId="0" fontId="35" fillId="0" borderId="19" xfId="0" applyFont="1" applyBorder="1" applyAlignment="1">
      <alignment vertical="center"/>
    </xf>
    <xf numFmtId="0" fontId="39" fillId="0" borderId="20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21" xfId="0" applyFont="1" applyBorder="1" applyAlignment="1">
      <alignment vertical="center"/>
    </xf>
    <xf numFmtId="0" fontId="39" fillId="0" borderId="7" xfId="0" applyFont="1" applyBorder="1" applyAlignment="1">
      <alignment horizontal="left" vertical="center"/>
    </xf>
    <xf numFmtId="0" fontId="40" fillId="0" borderId="3" xfId="0" applyFont="1" applyBorder="1" applyAlignment="1">
      <alignment vertical="center"/>
    </xf>
    <xf numFmtId="0" fontId="39" fillId="0" borderId="3" xfId="0" applyFont="1" applyBorder="1" applyAlignment="1">
      <alignment vertical="center"/>
    </xf>
    <xf numFmtId="0" fontId="35" fillId="0" borderId="3" xfId="0" applyFont="1" applyBorder="1" applyAlignment="1">
      <alignment vertical="center"/>
    </xf>
    <xf numFmtId="0" fontId="35" fillId="0" borderId="8" xfId="0" applyFont="1" applyBorder="1" applyAlignment="1">
      <alignment vertical="center"/>
    </xf>
    <xf numFmtId="0" fontId="35" fillId="0" borderId="22" xfId="0" applyFont="1" applyBorder="1" applyAlignment="1">
      <alignment vertical="center"/>
    </xf>
    <xf numFmtId="0" fontId="35" fillId="0" borderId="22" xfId="0" applyFont="1" applyBorder="1" applyAlignment="1">
      <alignment horizontal="right" vertical="center"/>
    </xf>
    <xf numFmtId="0" fontId="35" fillId="0" borderId="22" xfId="0" applyFont="1" applyBorder="1" applyAlignment="1">
      <alignment horizontal="center" vertical="center"/>
    </xf>
    <xf numFmtId="191" fontId="39" fillId="0" borderId="22" xfId="0" applyNumberFormat="1" applyFont="1" applyBorder="1" applyAlignment="1">
      <alignment horizontal="center" vertical="center"/>
    </xf>
    <xf numFmtId="0" fontId="41" fillId="0" borderId="14" xfId="0" applyFont="1" applyBorder="1" applyAlignment="1">
      <alignment horizontal="center" vertical="center"/>
    </xf>
    <xf numFmtId="0" fontId="41" fillId="0" borderId="24" xfId="0" applyFont="1" applyBorder="1" applyAlignment="1">
      <alignment horizontal="center" vertical="center"/>
    </xf>
    <xf numFmtId="0" fontId="42" fillId="3" borderId="1" xfId="0" applyFont="1" applyFill="1" applyBorder="1" applyAlignment="1">
      <alignment horizontal="center" vertical="center"/>
    </xf>
    <xf numFmtId="0" fontId="42" fillId="3" borderId="14" xfId="0" applyFont="1" applyFill="1" applyBorder="1" applyAlignment="1">
      <alignment horizontal="center" vertical="center"/>
    </xf>
    <xf numFmtId="177" fontId="42" fillId="3" borderId="14" xfId="0" applyNumberFormat="1" applyFont="1" applyFill="1" applyBorder="1" applyAlignment="1">
      <alignment horizontal="center" vertical="center"/>
    </xf>
    <xf numFmtId="180" fontId="42" fillId="3" borderId="23" xfId="0" applyNumberFormat="1" applyFont="1" applyFill="1" applyBorder="1" applyAlignment="1">
      <alignment horizontal="center" vertical="center"/>
    </xf>
    <xf numFmtId="191" fontId="42" fillId="3" borderId="1" xfId="0" applyNumberFormat="1" applyFont="1" applyFill="1" applyBorder="1" applyAlignment="1">
      <alignment horizontal="center" vertical="center"/>
    </xf>
    <xf numFmtId="0" fontId="35" fillId="3" borderId="1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2" fillId="0" borderId="14" xfId="0" applyFont="1" applyBorder="1" applyAlignment="1">
      <alignment horizontal="center" vertical="center"/>
    </xf>
    <xf numFmtId="177" fontId="42" fillId="0" borderId="14" xfId="0" applyNumberFormat="1" applyFont="1" applyBorder="1" applyAlignment="1">
      <alignment horizontal="center" vertical="center"/>
    </xf>
    <xf numFmtId="180" fontId="42" fillId="0" borderId="23" xfId="0" applyNumberFormat="1" applyFont="1" applyBorder="1" applyAlignment="1">
      <alignment horizontal="center" vertical="center"/>
    </xf>
    <xf numFmtId="191" fontId="42" fillId="0" borderId="1" xfId="0" applyNumberFormat="1" applyFont="1" applyBorder="1" applyAlignment="1">
      <alignment horizontal="center" vertical="center"/>
    </xf>
    <xf numFmtId="0" fontId="43" fillId="3" borderId="0" xfId="0" applyFont="1" applyFill="1" applyAlignment="1">
      <alignment horizontal="left" vertical="center"/>
    </xf>
    <xf numFmtId="0" fontId="43" fillId="0" borderId="0" xfId="0" applyFont="1" applyAlignment="1">
      <alignment vertical="center"/>
    </xf>
    <xf numFmtId="3" fontId="43" fillId="0" borderId="0" xfId="0" applyNumberFormat="1" applyFont="1" applyAlignment="1">
      <alignment vertical="center"/>
    </xf>
    <xf numFmtId="186" fontId="35" fillId="0" borderId="0" xfId="0" applyNumberFormat="1" applyFont="1" applyAlignment="1">
      <alignment vertical="center"/>
    </xf>
    <xf numFmtId="177" fontId="35" fillId="0" borderId="0" xfId="0" applyNumberFormat="1" applyFont="1" applyAlignment="1">
      <alignment vertical="center"/>
    </xf>
    <xf numFmtId="191" fontId="39" fillId="0" borderId="0" xfId="0" applyNumberFormat="1" applyFont="1" applyAlignment="1">
      <alignment horizontal="center" vertical="center"/>
    </xf>
    <xf numFmtId="0" fontId="45" fillId="0" borderId="0" xfId="0" applyFont="1" applyAlignment="1">
      <alignment vertical="center"/>
    </xf>
    <xf numFmtId="0" fontId="35" fillId="0" borderId="0" xfId="0" applyFont="1" applyAlignment="1">
      <alignment horizontal="right" vertical="center"/>
    </xf>
    <xf numFmtId="49" fontId="35" fillId="0" borderId="0" xfId="0" applyNumberFormat="1" applyFont="1" applyAlignment="1">
      <alignment vertical="center"/>
    </xf>
    <xf numFmtId="0" fontId="46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0" fontId="49" fillId="0" borderId="0" xfId="0" applyFont="1" applyAlignment="1">
      <alignment vertical="center"/>
    </xf>
    <xf numFmtId="0" fontId="49" fillId="0" borderId="0" xfId="0" applyFont="1" applyAlignment="1">
      <alignment horizontal="center" vertical="center"/>
    </xf>
    <xf numFmtId="2" fontId="35" fillId="0" borderId="0" xfId="0" applyNumberFormat="1" applyFont="1" applyAlignment="1">
      <alignment horizontal="center" vertical="center"/>
    </xf>
    <xf numFmtId="180" fontId="35" fillId="0" borderId="0" xfId="0" applyNumberFormat="1" applyFont="1" applyAlignment="1">
      <alignment horizontal="center" vertical="center"/>
    </xf>
    <xf numFmtId="185" fontId="35" fillId="0" borderId="0" xfId="0" applyNumberFormat="1" applyFont="1" applyAlignment="1">
      <alignment horizontal="center" vertical="center"/>
    </xf>
    <xf numFmtId="192" fontId="43" fillId="0" borderId="25" xfId="0" applyNumberFormat="1" applyFont="1" applyBorder="1" applyAlignment="1">
      <alignment horizontal="right" vertical="center"/>
    </xf>
    <xf numFmtId="180" fontId="42" fillId="2" borderId="23" xfId="0" applyNumberFormat="1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177" fontId="42" fillId="2" borderId="14" xfId="0" applyNumberFormat="1" applyFont="1" applyFill="1" applyBorder="1" applyAlignment="1">
      <alignment vertical="center"/>
    </xf>
    <xf numFmtId="191" fontId="42" fillId="2" borderId="14" xfId="0" applyNumberFormat="1" applyFont="1" applyFill="1" applyBorder="1" applyAlignment="1">
      <alignment horizontal="center" vertical="center"/>
    </xf>
    <xf numFmtId="191" fontId="50" fillId="2" borderId="1" xfId="0" applyNumberFormat="1" applyFont="1" applyFill="1" applyBorder="1" applyAlignment="1">
      <alignment horizontal="center" vertical="center"/>
    </xf>
    <xf numFmtId="0" fontId="43" fillId="0" borderId="27" xfId="0" applyFont="1" applyBorder="1" applyAlignment="1">
      <alignment horizontal="center" vertical="center"/>
    </xf>
    <xf numFmtId="0" fontId="43" fillId="0" borderId="28" xfId="0" applyFont="1" applyBorder="1" applyAlignment="1">
      <alignment horizontal="center" vertical="center"/>
    </xf>
    <xf numFmtId="0" fontId="43" fillId="0" borderId="29" xfId="0" applyFont="1" applyBorder="1" applyAlignment="1">
      <alignment horizontal="center" vertical="center"/>
    </xf>
    <xf numFmtId="177" fontId="42" fillId="2" borderId="12" xfId="0" applyNumberFormat="1" applyFont="1" applyFill="1" applyBorder="1" applyAlignment="1">
      <alignment vertical="center"/>
    </xf>
    <xf numFmtId="191" fontId="42" fillId="2" borderId="1" xfId="0" applyNumberFormat="1" applyFont="1" applyFill="1" applyBorder="1" applyAlignment="1">
      <alignment horizontal="center" vertical="center"/>
    </xf>
    <xf numFmtId="0" fontId="43" fillId="0" borderId="30" xfId="0" applyFont="1" applyBorder="1" applyAlignment="1">
      <alignment horizontal="center" vertical="center"/>
    </xf>
    <xf numFmtId="0" fontId="43" fillId="0" borderId="31" xfId="0" applyFont="1" applyBorder="1" applyAlignment="1">
      <alignment horizontal="center" vertical="center"/>
    </xf>
    <xf numFmtId="192" fontId="43" fillId="0" borderId="32" xfId="0" applyNumberFormat="1" applyFont="1" applyBorder="1" applyAlignment="1">
      <alignment horizontal="right" vertical="center"/>
    </xf>
    <xf numFmtId="177" fontId="42" fillId="2" borderId="33" xfId="0" applyNumberFormat="1" applyFont="1" applyFill="1" applyBorder="1" applyAlignment="1">
      <alignment vertical="center"/>
    </xf>
    <xf numFmtId="0" fontId="43" fillId="0" borderId="34" xfId="0" applyFont="1" applyBorder="1" applyAlignment="1">
      <alignment horizontal="center" vertical="center"/>
    </xf>
    <xf numFmtId="192" fontId="43" fillId="0" borderId="35" xfId="0" applyNumberFormat="1" applyFont="1" applyBorder="1" applyAlignment="1">
      <alignment horizontal="right" vertical="center"/>
    </xf>
    <xf numFmtId="0" fontId="43" fillId="0" borderId="0" xfId="0" applyFont="1" applyAlignment="1">
      <alignment horizontal="center" vertical="center"/>
    </xf>
    <xf numFmtId="0" fontId="43" fillId="0" borderId="36" xfId="0" applyFont="1" applyBorder="1" applyAlignment="1">
      <alignment horizontal="center" vertical="center"/>
    </xf>
    <xf numFmtId="0" fontId="43" fillId="0" borderId="37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2" fillId="0" borderId="0" xfId="0" applyFont="1" applyAlignment="1">
      <alignment vertical="center"/>
    </xf>
    <xf numFmtId="191" fontId="39" fillId="0" borderId="38" xfId="0" applyNumberFormat="1" applyFont="1" applyBorder="1" applyAlignment="1">
      <alignment horizontal="center" vertical="center"/>
    </xf>
    <xf numFmtId="183" fontId="49" fillId="3" borderId="0" xfId="0" applyNumberFormat="1" applyFont="1" applyFill="1" applyAlignment="1">
      <alignment horizontal="center" vertical="center"/>
    </xf>
    <xf numFmtId="0" fontId="49" fillId="3" borderId="0" xfId="0" applyFont="1" applyFill="1" applyAlignment="1">
      <alignment vertical="center"/>
    </xf>
    <xf numFmtId="0" fontId="49" fillId="3" borderId="39" xfId="0" applyFont="1" applyFill="1" applyBorder="1" applyAlignment="1">
      <alignment horizontal="center" vertical="center"/>
    </xf>
    <xf numFmtId="0" fontId="53" fillId="3" borderId="0" xfId="0" applyFont="1" applyFill="1" applyAlignment="1">
      <alignment horizontal="center" vertical="center"/>
    </xf>
    <xf numFmtId="2" fontId="53" fillId="3" borderId="0" xfId="0" applyNumberFormat="1" applyFont="1" applyFill="1" applyAlignment="1">
      <alignment horizontal="center" vertical="center"/>
    </xf>
    <xf numFmtId="180" fontId="53" fillId="3" borderId="40" xfId="0" applyNumberFormat="1" applyFont="1" applyFill="1" applyBorder="1" applyAlignment="1">
      <alignment horizontal="center" vertical="center"/>
    </xf>
    <xf numFmtId="185" fontId="53" fillId="3" borderId="0" xfId="0" applyNumberFormat="1" applyFont="1" applyFill="1" applyAlignment="1">
      <alignment horizontal="center" vertical="center"/>
    </xf>
    <xf numFmtId="0" fontId="53" fillId="3" borderId="40" xfId="0" applyFont="1" applyFill="1" applyBorder="1" applyAlignment="1">
      <alignment vertical="center"/>
    </xf>
    <xf numFmtId="192" fontId="43" fillId="3" borderId="25" xfId="0" applyNumberFormat="1" applyFont="1" applyFill="1" applyBorder="1" applyAlignment="1">
      <alignment horizontal="right" vertical="center"/>
    </xf>
    <xf numFmtId="0" fontId="35" fillId="3" borderId="0" xfId="0" applyFont="1" applyFill="1" applyAlignment="1">
      <alignment vertical="center"/>
    </xf>
    <xf numFmtId="0" fontId="35" fillId="3" borderId="40" xfId="0" applyFont="1" applyFill="1" applyBorder="1" applyAlignment="1">
      <alignment vertical="center"/>
    </xf>
    <xf numFmtId="183" fontId="49" fillId="0" borderId="0" xfId="0" applyNumberFormat="1" applyFont="1" applyAlignment="1">
      <alignment horizontal="center" vertical="center"/>
    </xf>
    <xf numFmtId="0" fontId="49" fillId="0" borderId="40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2" fontId="53" fillId="0" borderId="0" xfId="0" applyNumberFormat="1" applyFont="1" applyAlignment="1">
      <alignment horizontal="center" vertical="center"/>
    </xf>
    <xf numFmtId="180" fontId="53" fillId="0" borderId="40" xfId="0" applyNumberFormat="1" applyFont="1" applyBorder="1" applyAlignment="1">
      <alignment horizontal="center" vertical="center"/>
    </xf>
    <xf numFmtId="185" fontId="53" fillId="0" borderId="0" xfId="0" applyNumberFormat="1" applyFont="1" applyAlignment="1">
      <alignment horizontal="center" vertical="center"/>
    </xf>
    <xf numFmtId="0" fontId="53" fillId="0" borderId="40" xfId="0" applyFont="1" applyBorder="1" applyAlignment="1">
      <alignment vertical="center"/>
    </xf>
    <xf numFmtId="0" fontId="35" fillId="0" borderId="40" xfId="0" applyFont="1" applyBorder="1" applyAlignment="1">
      <alignment vertical="center"/>
    </xf>
    <xf numFmtId="0" fontId="49" fillId="3" borderId="40" xfId="0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177" fontId="54" fillId="0" borderId="1" xfId="0" applyNumberFormat="1" applyFont="1" applyBorder="1" applyAlignment="1">
      <alignment horizontal="center" vertical="center"/>
    </xf>
    <xf numFmtId="180" fontId="54" fillId="0" borderId="1" xfId="0" applyNumberFormat="1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/>
    </xf>
    <xf numFmtId="191" fontId="55" fillId="0" borderId="1" xfId="0" applyNumberFormat="1" applyFont="1" applyBorder="1" applyAlignment="1">
      <alignment horizontal="center" vertical="center"/>
    </xf>
    <xf numFmtId="191" fontId="54" fillId="0" borderId="1" xfId="0" applyNumberFormat="1" applyFont="1" applyBorder="1" applyAlignment="1">
      <alignment horizontal="center" vertical="center"/>
    </xf>
    <xf numFmtId="49" fontId="38" fillId="0" borderId="0" xfId="0" applyNumberFormat="1" applyFont="1" applyAlignment="1">
      <alignment vertical="center"/>
    </xf>
    <xf numFmtId="0" fontId="56" fillId="0" borderId="1" xfId="0" applyFont="1" applyBorder="1" applyAlignment="1">
      <alignment horizontal="center" vertical="center"/>
    </xf>
    <xf numFmtId="177" fontId="56" fillId="0" borderId="1" xfId="0" applyNumberFormat="1" applyFont="1" applyBorder="1" applyAlignment="1">
      <alignment vertical="center"/>
    </xf>
    <xf numFmtId="194" fontId="56" fillId="0" borderId="1" xfId="0" applyNumberFormat="1" applyFont="1" applyBorder="1" applyAlignment="1">
      <alignment horizontal="center" vertical="center"/>
    </xf>
    <xf numFmtId="186" fontId="57" fillId="0" borderId="1" xfId="0" applyNumberFormat="1" applyFont="1" applyBorder="1" applyAlignment="1">
      <alignment horizontal="center" vertical="center"/>
    </xf>
    <xf numFmtId="177" fontId="56" fillId="0" borderId="1" xfId="0" applyNumberFormat="1" applyFont="1" applyBorder="1" applyAlignment="1">
      <alignment horizontal="right" vertical="center"/>
    </xf>
    <xf numFmtId="0" fontId="35" fillId="0" borderId="42" xfId="0" applyFont="1" applyBorder="1" applyAlignment="1">
      <alignment vertical="center"/>
    </xf>
    <xf numFmtId="0" fontId="56" fillId="0" borderId="10" xfId="0" applyFont="1" applyBorder="1" applyAlignment="1">
      <alignment horizontal="center" vertical="center"/>
    </xf>
    <xf numFmtId="177" fontId="56" fillId="0" borderId="10" xfId="0" applyNumberFormat="1" applyFont="1" applyBorder="1" applyAlignment="1">
      <alignment vertical="center"/>
    </xf>
    <xf numFmtId="180" fontId="42" fillId="2" borderId="44" xfId="0" applyNumberFormat="1" applyFont="1" applyFill="1" applyBorder="1" applyAlignment="1">
      <alignment horizontal="center" vertical="center"/>
    </xf>
    <xf numFmtId="0" fontId="42" fillId="2" borderId="45" xfId="0" applyFont="1" applyFill="1" applyBorder="1" applyAlignment="1">
      <alignment horizontal="center" vertical="center"/>
    </xf>
    <xf numFmtId="177" fontId="42" fillId="2" borderId="45" xfId="0" applyNumberFormat="1" applyFont="1" applyFill="1" applyBorder="1" applyAlignment="1">
      <alignment horizontal="center" vertical="center"/>
    </xf>
    <xf numFmtId="191" fontId="42" fillId="2" borderId="45" xfId="0" applyNumberFormat="1" applyFont="1" applyFill="1" applyBorder="1" applyAlignment="1">
      <alignment horizontal="center" vertical="center"/>
    </xf>
    <xf numFmtId="0" fontId="43" fillId="0" borderId="44" xfId="0" applyFont="1" applyBorder="1" applyAlignment="1">
      <alignment horizontal="center" vertical="center"/>
    </xf>
    <xf numFmtId="0" fontId="43" fillId="0" borderId="45" xfId="0" applyFont="1" applyBorder="1" applyAlignment="1">
      <alignment horizontal="center" vertical="center"/>
    </xf>
    <xf numFmtId="0" fontId="43" fillId="0" borderId="46" xfId="0" applyFont="1" applyBorder="1" applyAlignment="1">
      <alignment horizontal="center" vertical="center"/>
    </xf>
    <xf numFmtId="180" fontId="42" fillId="0" borderId="34" xfId="0" applyNumberFormat="1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77" fontId="42" fillId="2" borderId="0" xfId="0" applyNumberFormat="1" applyFont="1" applyFill="1" applyAlignment="1">
      <alignment horizontal="center" vertical="center"/>
    </xf>
    <xf numFmtId="191" fontId="42" fillId="0" borderId="0" xfId="0" applyNumberFormat="1" applyFont="1" applyAlignment="1">
      <alignment horizontal="center" vertical="center"/>
    </xf>
    <xf numFmtId="0" fontId="43" fillId="0" borderId="47" xfId="0" applyFont="1" applyBorder="1" applyAlignment="1">
      <alignment horizontal="center" vertical="center"/>
    </xf>
    <xf numFmtId="192" fontId="43" fillId="0" borderId="48" xfId="0" applyNumberFormat="1" applyFont="1" applyBorder="1" applyAlignment="1">
      <alignment horizontal="right" vertical="center"/>
    </xf>
    <xf numFmtId="0" fontId="43" fillId="0" borderId="1" xfId="0" applyFont="1" applyBorder="1" applyAlignment="1">
      <alignment horizontal="center" vertical="center"/>
    </xf>
    <xf numFmtId="0" fontId="43" fillId="0" borderId="49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192" fontId="43" fillId="0" borderId="51" xfId="0" applyNumberFormat="1" applyFont="1" applyBorder="1" applyAlignment="1">
      <alignment horizontal="right" vertical="center"/>
    </xf>
    <xf numFmtId="177" fontId="42" fillId="0" borderId="14" xfId="0" applyNumberFormat="1" applyFont="1" applyBorder="1" applyAlignment="1">
      <alignment vertical="center"/>
    </xf>
    <xf numFmtId="191" fontId="42" fillId="0" borderId="53" xfId="0" applyNumberFormat="1" applyFont="1" applyBorder="1" applyAlignment="1">
      <alignment horizontal="center" vertical="center"/>
    </xf>
    <xf numFmtId="191" fontId="42" fillId="0" borderId="14" xfId="0" applyNumberFormat="1" applyFont="1" applyBorder="1" applyAlignment="1">
      <alignment horizontal="center" vertical="center"/>
    </xf>
    <xf numFmtId="0" fontId="54" fillId="0" borderId="55" xfId="0" applyFont="1" applyBorder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177" fontId="54" fillId="0" borderId="2" xfId="0" applyNumberFormat="1" applyFont="1" applyBorder="1" applyAlignment="1">
      <alignment horizontal="center" vertical="center"/>
    </xf>
    <xf numFmtId="180" fontId="54" fillId="0" borderId="2" xfId="0" applyNumberFormat="1" applyFont="1" applyBorder="1" applyAlignment="1">
      <alignment horizontal="center" vertical="center"/>
    </xf>
    <xf numFmtId="0" fontId="40" fillId="0" borderId="2" xfId="0" applyFont="1" applyBorder="1" applyAlignment="1">
      <alignment horizontal="center" vertical="center" wrapText="1"/>
    </xf>
    <xf numFmtId="191" fontId="55" fillId="0" borderId="2" xfId="0" applyNumberFormat="1" applyFont="1" applyBorder="1" applyAlignment="1">
      <alignment horizontal="center" vertical="center"/>
    </xf>
    <xf numFmtId="191" fontId="54" fillId="0" borderId="2" xfId="0" applyNumberFormat="1" applyFont="1" applyBorder="1" applyAlignment="1">
      <alignment horizontal="center" vertical="center"/>
    </xf>
    <xf numFmtId="191" fontId="27" fillId="0" borderId="56" xfId="0" applyNumberFormat="1" applyFont="1" applyBorder="1" applyAlignment="1">
      <alignment horizontal="center" vertical="center"/>
    </xf>
    <xf numFmtId="0" fontId="56" fillId="0" borderId="57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177" fontId="56" fillId="0" borderId="58" xfId="0" applyNumberFormat="1" applyFont="1" applyBorder="1" applyAlignment="1">
      <alignment vertical="center"/>
    </xf>
    <xf numFmtId="180" fontId="56" fillId="0" borderId="58" xfId="0" applyNumberFormat="1" applyFont="1" applyBorder="1" applyAlignment="1">
      <alignment horizontal="center" vertical="center"/>
    </xf>
    <xf numFmtId="195" fontId="59" fillId="0" borderId="58" xfId="0" applyNumberFormat="1" applyFont="1" applyBorder="1" applyAlignment="1">
      <alignment horizontal="center" vertical="center"/>
    </xf>
    <xf numFmtId="195" fontId="56" fillId="0" borderId="58" xfId="0" applyNumberFormat="1" applyFont="1" applyBorder="1" applyAlignment="1">
      <alignment horizontal="center" vertical="center"/>
    </xf>
    <xf numFmtId="177" fontId="56" fillId="9" borderId="58" xfId="0" applyNumberFormat="1" applyFont="1" applyFill="1" applyBorder="1" applyAlignment="1">
      <alignment horizontal="center" vertical="center"/>
    </xf>
    <xf numFmtId="196" fontId="40" fillId="9" borderId="59" xfId="0" applyNumberFormat="1" applyFont="1" applyFill="1" applyBorder="1" applyAlignment="1">
      <alignment horizontal="center" vertical="center"/>
    </xf>
    <xf numFmtId="197" fontId="35" fillId="0" borderId="0" xfId="0" applyNumberFormat="1" applyFont="1" applyAlignment="1">
      <alignment vertical="center"/>
    </xf>
    <xf numFmtId="0" fontId="40" fillId="3" borderId="0" xfId="0" applyFont="1" applyFill="1" applyAlignment="1">
      <alignment vertical="center"/>
    </xf>
    <xf numFmtId="0" fontId="63" fillId="5" borderId="1" xfId="0" applyFont="1" applyFill="1" applyBorder="1" applyAlignment="1">
      <alignment horizontal="center" vertical="center"/>
    </xf>
    <xf numFmtId="177" fontId="63" fillId="5" borderId="1" xfId="0" applyNumberFormat="1" applyFont="1" applyFill="1" applyBorder="1" applyAlignment="1">
      <alignment horizontal="center" vertical="center"/>
    </xf>
    <xf numFmtId="180" fontId="63" fillId="5" borderId="1" xfId="0" applyNumberFormat="1" applyFont="1" applyFill="1" applyBorder="1" applyAlignment="1">
      <alignment horizontal="center" vertical="center"/>
    </xf>
    <xf numFmtId="191" fontId="63" fillId="5" borderId="1" xfId="0" applyNumberFormat="1" applyFont="1" applyFill="1" applyBorder="1" applyAlignment="1">
      <alignment horizontal="center" vertical="center"/>
    </xf>
    <xf numFmtId="0" fontId="42" fillId="5" borderId="1" xfId="0" applyFont="1" applyFill="1" applyBorder="1" applyAlignment="1">
      <alignment horizontal="center" vertical="center"/>
    </xf>
    <xf numFmtId="177" fontId="42" fillId="5" borderId="1" xfId="0" applyNumberFormat="1" applyFont="1" applyFill="1" applyBorder="1" applyAlignment="1">
      <alignment horizontal="center" vertical="center"/>
    </xf>
    <xf numFmtId="180" fontId="42" fillId="5" borderId="1" xfId="0" applyNumberFormat="1" applyFont="1" applyFill="1" applyBorder="1" applyAlignment="1">
      <alignment horizontal="center" vertical="center"/>
    </xf>
    <xf numFmtId="191" fontId="42" fillId="5" borderId="1" xfId="0" applyNumberFormat="1" applyFont="1" applyFill="1" applyBorder="1" applyAlignment="1">
      <alignment horizontal="center" vertical="center"/>
    </xf>
    <xf numFmtId="185" fontId="43" fillId="0" borderId="0" xfId="0" applyNumberFormat="1" applyFont="1" applyAlignment="1">
      <alignment vertical="center"/>
    </xf>
    <xf numFmtId="185" fontId="35" fillId="0" borderId="0" xfId="0" applyNumberFormat="1" applyFont="1" applyAlignment="1">
      <alignment vertical="center"/>
    </xf>
    <xf numFmtId="185" fontId="42" fillId="5" borderId="1" xfId="0" applyNumberFormat="1" applyFont="1" applyFill="1" applyBorder="1" applyAlignment="1">
      <alignment horizontal="center" vertical="center"/>
    </xf>
    <xf numFmtId="177" fontId="42" fillId="3" borderId="1" xfId="0" applyNumberFormat="1" applyFont="1" applyFill="1" applyBorder="1" applyAlignment="1">
      <alignment horizontal="center" vertical="center"/>
    </xf>
    <xf numFmtId="180" fontId="42" fillId="3" borderId="1" xfId="0" applyNumberFormat="1" applyFont="1" applyFill="1" applyBorder="1" applyAlignment="1">
      <alignment horizontal="center" vertical="center"/>
    </xf>
    <xf numFmtId="185" fontId="42" fillId="3" borderId="1" xfId="0" applyNumberFormat="1" applyFont="1" applyFill="1" applyBorder="1" applyAlignment="1">
      <alignment horizontal="center" vertical="center"/>
    </xf>
    <xf numFmtId="49" fontId="42" fillId="3" borderId="1" xfId="0" applyNumberFormat="1" applyFont="1" applyFill="1" applyBorder="1" applyAlignment="1">
      <alignment horizontal="center" vertical="center"/>
    </xf>
    <xf numFmtId="177" fontId="64" fillId="0" borderId="1" xfId="0" applyNumberFormat="1" applyFont="1" applyBorder="1" applyAlignment="1">
      <alignment horizontal="center" vertical="center"/>
    </xf>
    <xf numFmtId="180" fontId="42" fillId="0" borderId="1" xfId="0" applyNumberFormat="1" applyFont="1" applyBorder="1" applyAlignment="1">
      <alignment horizontal="center" vertical="center"/>
    </xf>
    <xf numFmtId="185" fontId="42" fillId="0" borderId="1" xfId="0" applyNumberFormat="1" applyFont="1" applyBorder="1" applyAlignment="1">
      <alignment horizontal="center" vertical="center"/>
    </xf>
    <xf numFmtId="177" fontId="42" fillId="0" borderId="1" xfId="0" applyNumberFormat="1" applyFont="1" applyBorder="1" applyAlignment="1">
      <alignment horizontal="center" vertical="center"/>
    </xf>
    <xf numFmtId="0" fontId="65" fillId="0" borderId="0" xfId="0" applyFont="1" applyAlignment="1">
      <alignment vertical="center"/>
    </xf>
    <xf numFmtId="186" fontId="42" fillId="0" borderId="1" xfId="0" applyNumberFormat="1" applyFont="1" applyBorder="1" applyAlignment="1">
      <alignment horizontal="center" vertical="center"/>
    </xf>
    <xf numFmtId="3" fontId="46" fillId="0" borderId="1" xfId="0" applyNumberFormat="1" applyFont="1" applyBorder="1" applyAlignment="1">
      <alignment horizontal="center" vertical="center"/>
    </xf>
    <xf numFmtId="178" fontId="35" fillId="0" borderId="0" xfId="0" applyNumberFormat="1" applyFont="1" applyAlignment="1">
      <alignment vertical="center"/>
    </xf>
    <xf numFmtId="176" fontId="35" fillId="0" borderId="0" xfId="0" applyNumberFormat="1" applyFont="1" applyAlignment="1">
      <alignment vertical="center"/>
    </xf>
    <xf numFmtId="191" fontId="39" fillId="0" borderId="10" xfId="0" applyNumberFormat="1" applyFont="1" applyBorder="1" applyAlignment="1">
      <alignment horizontal="center" vertical="center"/>
    </xf>
    <xf numFmtId="49" fontId="42" fillId="5" borderId="1" xfId="0" applyNumberFormat="1" applyFont="1" applyFill="1" applyBorder="1" applyAlignment="1">
      <alignment horizontal="center" vertical="center"/>
    </xf>
    <xf numFmtId="189" fontId="42" fillId="3" borderId="1" xfId="0" applyNumberFormat="1" applyFont="1" applyFill="1" applyBorder="1" applyAlignment="1">
      <alignment horizontal="center" vertical="center"/>
    </xf>
    <xf numFmtId="0" fontId="66" fillId="10" borderId="61" xfId="0" applyFont="1" applyFill="1" applyBorder="1" applyAlignment="1">
      <alignment horizontal="center" vertical="center"/>
    </xf>
    <xf numFmtId="0" fontId="66" fillId="10" borderId="62" xfId="0" applyFont="1" applyFill="1" applyBorder="1" applyAlignment="1">
      <alignment horizontal="center" vertical="center"/>
    </xf>
    <xf numFmtId="0" fontId="67" fillId="0" borderId="58" xfId="0" applyFont="1" applyBorder="1" applyAlignment="1">
      <alignment horizontal="center"/>
    </xf>
    <xf numFmtId="0" fontId="67" fillId="0" borderId="2" xfId="0" applyFont="1" applyBorder="1" applyAlignment="1">
      <alignment horizontal="center"/>
    </xf>
    <xf numFmtId="0" fontId="67" fillId="0" borderId="2" xfId="0" applyFont="1" applyBorder="1" applyAlignment="1">
      <alignment horizontal="center" vertical="center"/>
    </xf>
    <xf numFmtId="176" fontId="67" fillId="0" borderId="2" xfId="0" applyNumberFormat="1" applyFont="1" applyBorder="1" applyAlignment="1">
      <alignment horizontal="center" vertical="center"/>
    </xf>
    <xf numFmtId="0" fontId="67" fillId="11" borderId="2" xfId="0" applyFont="1" applyFill="1" applyBorder="1" applyAlignment="1">
      <alignment horizontal="center"/>
    </xf>
    <xf numFmtId="4" fontId="67" fillId="0" borderId="2" xfId="0" applyNumberFormat="1" applyFont="1" applyBorder="1" applyAlignment="1">
      <alignment horizontal="center" vertical="center"/>
    </xf>
    <xf numFmtId="199" fontId="67" fillId="0" borderId="2" xfId="0" applyNumberFormat="1" applyFont="1" applyBorder="1" applyAlignment="1">
      <alignment horizontal="center" vertical="center"/>
    </xf>
    <xf numFmtId="199" fontId="67" fillId="11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63" xfId="0" applyFont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0" fontId="68" fillId="0" borderId="2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7" fillId="0" borderId="63" xfId="0" applyFont="1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69" fillId="0" borderId="0" xfId="0" applyFont="1"/>
    <xf numFmtId="0" fontId="10" fillId="0" borderId="0" xfId="0" applyFont="1"/>
    <xf numFmtId="0" fontId="58" fillId="0" borderId="0" xfId="0" applyFont="1"/>
    <xf numFmtId="0" fontId="33" fillId="0" borderId="0" xfId="0" applyFont="1"/>
    <xf numFmtId="0" fontId="15" fillId="0" borderId="0" xfId="0" applyFont="1"/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9" xfId="0" applyFont="1" applyBorder="1" applyAlignment="1">
      <alignment horizontal="center" vertical="center"/>
    </xf>
    <xf numFmtId="185" fontId="22" fillId="5" borderId="6" xfId="0" applyNumberFormat="1" applyFont="1" applyFill="1" applyBorder="1" applyAlignment="1">
      <alignment horizontal="center" vertical="center"/>
    </xf>
    <xf numFmtId="200" fontId="3" fillId="0" borderId="3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7" fillId="8" borderId="2" xfId="0" applyFont="1" applyFill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93" fontId="35" fillId="0" borderId="26" xfId="0" applyNumberFormat="1" applyFont="1" applyBorder="1" applyAlignment="1">
      <alignment horizontal="center" vertical="center"/>
    </xf>
    <xf numFmtId="0" fontId="54" fillId="3" borderId="41" xfId="0" applyFont="1" applyFill="1" applyBorder="1" applyAlignment="1">
      <alignment horizontal="center" vertical="center"/>
    </xf>
    <xf numFmtId="193" fontId="35" fillId="4" borderId="43" xfId="0" applyNumberFormat="1" applyFont="1" applyFill="1" applyBorder="1" applyAlignment="1">
      <alignment horizontal="center" vertical="center"/>
    </xf>
    <xf numFmtId="191" fontId="42" fillId="0" borderId="1" xfId="0" applyNumberFormat="1" applyFont="1" applyBorder="1" applyAlignment="1">
      <alignment horizontal="center" vertical="center"/>
    </xf>
    <xf numFmtId="0" fontId="55" fillId="9" borderId="54" xfId="0" applyFont="1" applyFill="1" applyBorder="1" applyAlignment="1">
      <alignment horizontal="center" vertical="center"/>
    </xf>
    <xf numFmtId="0" fontId="61" fillId="0" borderId="0" xfId="0" applyFont="1" applyAlignment="1">
      <alignment horizontal="right" vertical="center"/>
    </xf>
    <xf numFmtId="191" fontId="39" fillId="0" borderId="52" xfId="0" applyNumberFormat="1" applyFont="1" applyBorder="1" applyAlignment="1">
      <alignment horizontal="center" vertical="center"/>
    </xf>
    <xf numFmtId="0" fontId="41" fillId="0" borderId="14" xfId="0" applyFont="1" applyBorder="1" applyAlignment="1">
      <alignment horizontal="center" vertical="center"/>
    </xf>
    <xf numFmtId="0" fontId="41" fillId="0" borderId="23" xfId="0" applyFont="1" applyBorder="1" applyAlignment="1">
      <alignment horizontal="center" vertical="center"/>
    </xf>
    <xf numFmtId="198" fontId="39" fillId="0" borderId="60" xfId="0" applyNumberFormat="1" applyFont="1" applyBorder="1" applyAlignment="1">
      <alignment horizontal="center" vertical="center"/>
    </xf>
    <xf numFmtId="14" fontId="3" fillId="0" borderId="9" xfId="0" applyNumberFormat="1" applyFont="1" applyBorder="1" applyAlignment="1">
      <alignment horizontal="center" vertical="center"/>
    </xf>
    <xf numFmtId="0" fontId="73" fillId="0" borderId="1" xfId="0" applyFont="1" applyBorder="1" applyAlignment="1">
      <alignment vertical="center"/>
    </xf>
    <xf numFmtId="0" fontId="73" fillId="0" borderId="0" xfId="0" applyFont="1" applyAlignment="1">
      <alignment vertical="center"/>
    </xf>
    <xf numFmtId="0" fontId="5" fillId="0" borderId="0" xfId="0" applyFont="1"/>
  </cellXfs>
  <cellStyles count="6">
    <cellStyle name="표준" xfId="0" builtinId="0"/>
    <cellStyle name="표준 2" xfId="1" xr:uid="{00000000-0005-0000-0000-000006000000}"/>
    <cellStyle name="표준 3" xfId="2" xr:uid="{00000000-0005-0000-0000-000007000000}"/>
    <cellStyle name="표준 4" xfId="3" xr:uid="{00000000-0005-0000-0000-000008000000}"/>
    <cellStyle name="표준 5" xfId="4" xr:uid="{00000000-0005-0000-0000-000009000000}"/>
    <cellStyle name="표준 6" xfId="5" xr:uid="{00000000-0005-0000-0000-00000A000000}"/>
  </cellStyles>
  <dxfs count="1"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EFEBDE"/>
      <rgbColor rgb="FF808080"/>
      <rgbColor rgb="FF9999FF"/>
      <rgbColor rgb="FF993366"/>
      <rgbColor rgb="FFFFF2CC"/>
      <rgbColor rgb="FFEAF6F6"/>
      <rgbColor rgb="FF660066"/>
      <rgbColor rgb="FFFF8080"/>
      <rgbColor rgb="FF0066CC"/>
      <rgbColor rgb="FFD0DCE6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AEAEA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A9DBB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760320</xdr:colOff>
      <xdr:row>7</xdr:row>
      <xdr:rowOff>85320</xdr:rowOff>
    </xdr:from>
    <xdr:to>
      <xdr:col>18</xdr:col>
      <xdr:colOff>308640</xdr:colOff>
      <xdr:row>10</xdr:row>
      <xdr:rowOff>37080</xdr:rowOff>
    </xdr:to>
    <xdr:pic>
      <xdr:nvPicPr>
        <xdr:cNvPr id="2" name="Picture 1" descr="명판직인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rcRect t="18191"/>
        <a:stretch/>
      </xdr:blipFill>
      <xdr:spPr>
        <a:xfrm>
          <a:off x="9664200" y="885600"/>
          <a:ext cx="2800080" cy="5706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15</xdr:col>
      <xdr:colOff>838440</xdr:colOff>
      <xdr:row>10</xdr:row>
      <xdr:rowOff>181080</xdr:rowOff>
    </xdr:from>
    <xdr:to>
      <xdr:col>18</xdr:col>
      <xdr:colOff>476760</xdr:colOff>
      <xdr:row>13</xdr:row>
      <xdr:rowOff>84960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9742320" y="1600200"/>
          <a:ext cx="2890080" cy="52308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755640</xdr:colOff>
      <xdr:row>26</xdr:row>
      <xdr:rowOff>190440</xdr:rowOff>
    </xdr:from>
    <xdr:to>
      <xdr:col>6</xdr:col>
      <xdr:colOff>452880</xdr:colOff>
      <xdr:row>30</xdr:row>
      <xdr:rowOff>43200</xdr:rowOff>
    </xdr:to>
    <xdr:pic>
      <xdr:nvPicPr>
        <xdr:cNvPr id="2" name="Picture 1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778200" y="5295960"/>
          <a:ext cx="2719800" cy="5670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622080</xdr:colOff>
      <xdr:row>27</xdr:row>
      <xdr:rowOff>133560</xdr:rowOff>
    </xdr:from>
    <xdr:to>
      <xdr:col>6</xdr:col>
      <xdr:colOff>611280</xdr:colOff>
      <xdr:row>30</xdr:row>
      <xdr:rowOff>132480</xdr:rowOff>
    </xdr:to>
    <xdr:pic>
      <xdr:nvPicPr>
        <xdr:cNvPr id="3" name="Picture 1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495960" y="5877000"/>
          <a:ext cx="2619000" cy="59904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9</xdr:row>
          <xdr:rowOff>19050</xdr:rowOff>
        </xdr:from>
        <xdr:to>
          <xdr:col>10</xdr:col>
          <xdr:colOff>406400</xdr:colOff>
          <xdr:row>10</xdr:row>
          <xdr:rowOff>146050</xdr:rowOff>
        </xdr:to>
        <xdr:sp macro="" textlink="">
          <xdr:nvSpPr>
            <xdr:cNvPr id="1001" name="Button 18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2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621720</xdr:colOff>
      <xdr:row>34</xdr:row>
      <xdr:rowOff>133560</xdr:rowOff>
    </xdr:from>
    <xdr:to>
      <xdr:col>6</xdr:col>
      <xdr:colOff>581760</xdr:colOff>
      <xdr:row>37</xdr:row>
      <xdr:rowOff>132480</xdr:rowOff>
    </xdr:to>
    <xdr:pic>
      <xdr:nvPicPr>
        <xdr:cNvPr id="4" name="Picture 1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702600" y="7477200"/>
          <a:ext cx="2619000" cy="57060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7</xdr:row>
          <xdr:rowOff>152400</xdr:rowOff>
        </xdr:from>
        <xdr:to>
          <xdr:col>10</xdr:col>
          <xdr:colOff>273050</xdr:colOff>
          <xdr:row>9</xdr:row>
          <xdr:rowOff>95250</xdr:rowOff>
        </xdr:to>
        <xdr:sp macro="" textlink="">
          <xdr:nvSpPr>
            <xdr:cNvPr id="4099" name="Button 1" descr="수탁은행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8</xdr:row>
          <xdr:rowOff>19050</xdr:rowOff>
        </xdr:from>
        <xdr:to>
          <xdr:col>10</xdr:col>
          <xdr:colOff>406400</xdr:colOff>
          <xdr:row>9</xdr:row>
          <xdr:rowOff>146050</xdr:rowOff>
        </xdr:to>
        <xdr:sp macro="" textlink="">
          <xdr:nvSpPr>
            <xdr:cNvPr id="4100" name="Button 2" descr="수탁은행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7</xdr:row>
          <xdr:rowOff>101600</xdr:rowOff>
        </xdr:from>
        <xdr:to>
          <xdr:col>10</xdr:col>
          <xdr:colOff>184150</xdr:colOff>
          <xdr:row>9</xdr:row>
          <xdr:rowOff>63500</xdr:rowOff>
        </xdr:to>
        <xdr:sp macro="" textlink="">
          <xdr:nvSpPr>
            <xdr:cNvPr id="4098" name="Button 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8</xdr:row>
          <xdr:rowOff>12700</xdr:rowOff>
        </xdr:from>
        <xdr:to>
          <xdr:col>10</xdr:col>
          <xdr:colOff>273050</xdr:colOff>
          <xdr:row>9</xdr:row>
          <xdr:rowOff>95250</xdr:rowOff>
        </xdr:to>
        <xdr:sp macro="" textlink="">
          <xdr:nvSpPr>
            <xdr:cNvPr id="4097" name="Button 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수탁은행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621720</xdr:colOff>
      <xdr:row>38</xdr:row>
      <xdr:rowOff>133560</xdr:rowOff>
    </xdr:from>
    <xdr:to>
      <xdr:col>6</xdr:col>
      <xdr:colOff>197640</xdr:colOff>
      <xdr:row>41</xdr:row>
      <xdr:rowOff>132480</xdr:rowOff>
    </xdr:to>
    <xdr:pic>
      <xdr:nvPicPr>
        <xdr:cNvPr id="5" name="Picture 1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702600" y="8553600"/>
          <a:ext cx="2604240" cy="57060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7</xdr:row>
          <xdr:rowOff>152400</xdr:rowOff>
        </xdr:from>
        <xdr:to>
          <xdr:col>10</xdr:col>
          <xdr:colOff>273050</xdr:colOff>
          <xdr:row>9</xdr:row>
          <xdr:rowOff>95250</xdr:rowOff>
        </xdr:to>
        <xdr:sp macro="" textlink="">
          <xdr:nvSpPr>
            <xdr:cNvPr id="5126" name="Button 1" descr="수탁은행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5</xdr:row>
          <xdr:rowOff>127000</xdr:rowOff>
        </xdr:from>
        <xdr:to>
          <xdr:col>10</xdr:col>
          <xdr:colOff>273050</xdr:colOff>
          <xdr:row>7</xdr:row>
          <xdr:rowOff>57150</xdr:rowOff>
        </xdr:to>
        <xdr:sp macro="" textlink="">
          <xdr:nvSpPr>
            <xdr:cNvPr id="5127" name="Button 18" descr="초기화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8</xdr:row>
          <xdr:rowOff>19050</xdr:rowOff>
        </xdr:from>
        <xdr:to>
          <xdr:col>10</xdr:col>
          <xdr:colOff>406400</xdr:colOff>
          <xdr:row>9</xdr:row>
          <xdr:rowOff>146050</xdr:rowOff>
        </xdr:to>
        <xdr:sp macro="" textlink="">
          <xdr:nvSpPr>
            <xdr:cNvPr id="5128" name="Button 4" descr="수탁은행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5</xdr:row>
          <xdr:rowOff>190500</xdr:rowOff>
        </xdr:from>
        <xdr:to>
          <xdr:col>10</xdr:col>
          <xdr:colOff>412750</xdr:colOff>
          <xdr:row>7</xdr:row>
          <xdr:rowOff>82550</xdr:rowOff>
        </xdr:to>
        <xdr:sp macro="" textlink="">
          <xdr:nvSpPr>
            <xdr:cNvPr id="5129" name="Button 5" descr="초기화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7</xdr:row>
          <xdr:rowOff>101600</xdr:rowOff>
        </xdr:from>
        <xdr:to>
          <xdr:col>10</xdr:col>
          <xdr:colOff>184150</xdr:colOff>
          <xdr:row>9</xdr:row>
          <xdr:rowOff>63500</xdr:rowOff>
        </xdr:to>
        <xdr:sp macro="" textlink="">
          <xdr:nvSpPr>
            <xdr:cNvPr id="5124" name="Button 1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5</xdr:row>
          <xdr:rowOff>82550</xdr:rowOff>
        </xdr:from>
        <xdr:to>
          <xdr:col>10</xdr:col>
          <xdr:colOff>184150</xdr:colOff>
          <xdr:row>7</xdr:row>
          <xdr:rowOff>38100</xdr:rowOff>
        </xdr:to>
        <xdr:sp macro="" textlink="">
          <xdr:nvSpPr>
            <xdr:cNvPr id="5123" name="Button 18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8</xdr:row>
          <xdr:rowOff>12700</xdr:rowOff>
        </xdr:from>
        <xdr:to>
          <xdr:col>10</xdr:col>
          <xdr:colOff>273050</xdr:colOff>
          <xdr:row>9</xdr:row>
          <xdr:rowOff>95250</xdr:rowOff>
        </xdr:to>
        <xdr:sp macro="" textlink="">
          <xdr:nvSpPr>
            <xdr:cNvPr id="5122" name="Button 4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5</xdr:row>
          <xdr:rowOff>127000</xdr:rowOff>
        </xdr:from>
        <xdr:to>
          <xdr:col>10</xdr:col>
          <xdr:colOff>273050</xdr:colOff>
          <xdr:row>7</xdr:row>
          <xdr:rowOff>57150</xdr:rowOff>
        </xdr:to>
        <xdr:sp macro="" textlink="">
          <xdr:nvSpPr>
            <xdr:cNvPr id="5121" name="Button 5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초기화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819000</xdr:colOff>
      <xdr:row>23</xdr:row>
      <xdr:rowOff>28800</xdr:rowOff>
    </xdr:from>
    <xdr:to>
      <xdr:col>6</xdr:col>
      <xdr:colOff>424440</xdr:colOff>
      <xdr:row>25</xdr:row>
      <xdr:rowOff>132480</xdr:rowOff>
    </xdr:to>
    <xdr:pic>
      <xdr:nvPicPr>
        <xdr:cNvPr id="6" name="Picture 1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722400" y="5019840"/>
          <a:ext cx="2419560" cy="48492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157680</xdr:colOff>
      <xdr:row>3</xdr:row>
      <xdr:rowOff>38160</xdr:rowOff>
    </xdr:from>
    <xdr:to>
      <xdr:col>11</xdr:col>
      <xdr:colOff>957960</xdr:colOff>
      <xdr:row>5</xdr:row>
      <xdr:rowOff>189720</xdr:rowOff>
    </xdr:to>
    <xdr:pic>
      <xdr:nvPicPr>
        <xdr:cNvPr id="7" name="Picture 1" descr="명판직인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/>
      </xdr:nvPicPr>
      <xdr:blipFill>
        <a:blip xmlns:r="http://schemas.openxmlformats.org/officeDocument/2006/relationships" r:embed="rId1"/>
        <a:srcRect t="18191"/>
        <a:stretch/>
      </xdr:blipFill>
      <xdr:spPr>
        <a:xfrm>
          <a:off x="8370000" y="685800"/>
          <a:ext cx="2792520" cy="5706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10</xdr:col>
      <xdr:colOff>0</xdr:colOff>
      <xdr:row>8</xdr:row>
      <xdr:rowOff>0</xdr:rowOff>
    </xdr:from>
    <xdr:to>
      <xdr:col>12</xdr:col>
      <xdr:colOff>492840</xdr:colOff>
      <xdr:row>10</xdr:row>
      <xdr:rowOff>141840</xdr:rowOff>
    </xdr:to>
    <xdr:pic>
      <xdr:nvPicPr>
        <xdr:cNvPr id="8" name="그림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9108360" y="1695600"/>
          <a:ext cx="2885040" cy="55116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621720</xdr:colOff>
      <xdr:row>27</xdr:row>
      <xdr:rowOff>133560</xdr:rowOff>
    </xdr:from>
    <xdr:to>
      <xdr:col>6</xdr:col>
      <xdr:colOff>581760</xdr:colOff>
      <xdr:row>30</xdr:row>
      <xdr:rowOff>132480</xdr:rowOff>
    </xdr:to>
    <xdr:pic>
      <xdr:nvPicPr>
        <xdr:cNvPr id="9" name="Picture 14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495600" y="5877000"/>
          <a:ext cx="2619000" cy="58968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8</xdr:row>
          <xdr:rowOff>152400</xdr:rowOff>
        </xdr:from>
        <xdr:to>
          <xdr:col>10</xdr:col>
          <xdr:colOff>273050</xdr:colOff>
          <xdr:row>10</xdr:row>
          <xdr:rowOff>95250</xdr:rowOff>
        </xdr:to>
        <xdr:sp macro="" textlink="">
          <xdr:nvSpPr>
            <xdr:cNvPr id="8195" name="Button 1" descr="수탁은행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9</xdr:row>
          <xdr:rowOff>19050</xdr:rowOff>
        </xdr:from>
        <xdr:to>
          <xdr:col>10</xdr:col>
          <xdr:colOff>406400</xdr:colOff>
          <xdr:row>10</xdr:row>
          <xdr:rowOff>146050</xdr:rowOff>
        </xdr:to>
        <xdr:sp macro="" textlink="">
          <xdr:nvSpPr>
            <xdr:cNvPr id="8196" name="Button 2" descr="수탁은행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8</xdr:row>
          <xdr:rowOff>101600</xdr:rowOff>
        </xdr:from>
        <xdr:to>
          <xdr:col>10</xdr:col>
          <xdr:colOff>184150</xdr:colOff>
          <xdr:row>10</xdr:row>
          <xdr:rowOff>63500</xdr:rowOff>
        </xdr:to>
        <xdr:sp macro="" textlink="">
          <xdr:nvSpPr>
            <xdr:cNvPr id="8194" name="Button 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9</xdr:row>
          <xdr:rowOff>12700</xdr:rowOff>
        </xdr:from>
        <xdr:to>
          <xdr:col>10</xdr:col>
          <xdr:colOff>273050</xdr:colOff>
          <xdr:row>10</xdr:row>
          <xdr:rowOff>95250</xdr:rowOff>
        </xdr:to>
        <xdr:sp macro="" textlink="">
          <xdr:nvSpPr>
            <xdr:cNvPr id="8193" name="Button 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수탁은행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158040</xdr:colOff>
      <xdr:row>3</xdr:row>
      <xdr:rowOff>38160</xdr:rowOff>
    </xdr:from>
    <xdr:to>
      <xdr:col>12</xdr:col>
      <xdr:colOff>473040</xdr:colOff>
      <xdr:row>5</xdr:row>
      <xdr:rowOff>189720</xdr:rowOff>
    </xdr:to>
    <xdr:pic>
      <xdr:nvPicPr>
        <xdr:cNvPr id="10" name="Picture 1" descr="명판직인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/>
      </xdr:nvPicPr>
      <xdr:blipFill>
        <a:blip xmlns:r="http://schemas.openxmlformats.org/officeDocument/2006/relationships" r:embed="rId1"/>
        <a:srcRect t="18191"/>
        <a:stretch/>
      </xdr:blipFill>
      <xdr:spPr>
        <a:xfrm>
          <a:off x="8296920" y="685800"/>
          <a:ext cx="2794680" cy="57060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W74"/>
  <sheetViews>
    <sheetView tabSelected="1" zoomScaleNormal="100" workbookViewId="0">
      <selection activeCell="E2" sqref="E2:H3"/>
    </sheetView>
  </sheetViews>
  <sheetFormatPr defaultColWidth="8.9140625" defaultRowHeight="14"/>
  <cols>
    <col min="1" max="2" width="4.6640625" style="5" customWidth="1"/>
    <col min="3" max="3" width="4" style="5" customWidth="1"/>
    <col min="4" max="4" width="16.08203125" style="5" customWidth="1"/>
    <col min="5" max="5" width="7.75" style="5" customWidth="1"/>
    <col min="6" max="6" width="7.6640625" style="5" customWidth="1"/>
    <col min="7" max="7" width="7.33203125" style="5" customWidth="1"/>
    <col min="8" max="8" width="8" style="5" customWidth="1"/>
    <col min="9" max="9" width="5.75" style="5" customWidth="1"/>
    <col min="10" max="10" width="6.08203125" style="5" customWidth="1"/>
    <col min="11" max="11" width="9.4140625" style="5" customWidth="1"/>
    <col min="12" max="12" width="4.25" style="5" customWidth="1"/>
    <col min="13" max="13" width="7.9140625" style="5" customWidth="1"/>
    <col min="14" max="14" width="3.58203125" style="6" customWidth="1"/>
    <col min="15" max="15" width="3" style="5" customWidth="1"/>
    <col min="16" max="16" width="11.9140625" style="5" customWidth="1"/>
    <col min="17" max="17" width="12.9140625" style="5" customWidth="1"/>
    <col min="18" max="24" width="11.9140625" style="5" customWidth="1"/>
    <col min="25" max="257" width="8.9140625" style="5"/>
  </cols>
  <sheetData>
    <row r="1" spans="1:27" ht="6.75" customHeight="1"/>
    <row r="2" spans="1:27" ht="9" customHeight="1">
      <c r="A2" s="7"/>
      <c r="D2" s="8"/>
      <c r="E2" s="343" t="s">
        <v>0</v>
      </c>
      <c r="F2" s="343"/>
      <c r="G2" s="343"/>
      <c r="H2" s="343"/>
      <c r="P2" s="6"/>
      <c r="Q2" s="6"/>
      <c r="R2" s="6"/>
      <c r="S2" s="6"/>
      <c r="T2" s="6"/>
      <c r="U2" s="6"/>
      <c r="V2" s="6"/>
      <c r="W2" s="6"/>
      <c r="X2" s="6"/>
    </row>
    <row r="3" spans="1:27" ht="12" customHeight="1">
      <c r="D3" s="8"/>
      <c r="E3" s="343"/>
      <c r="F3" s="343"/>
      <c r="G3" s="343"/>
      <c r="H3" s="343"/>
      <c r="P3" s="6"/>
      <c r="Q3" s="6"/>
      <c r="R3" s="6"/>
      <c r="S3" s="6"/>
      <c r="T3" s="6"/>
      <c r="U3" s="6"/>
      <c r="V3" s="6"/>
      <c r="W3" s="6"/>
      <c r="X3" s="6"/>
    </row>
    <row r="4" spans="1:27" ht="3" customHeight="1">
      <c r="O4" s="6"/>
      <c r="P4" s="6"/>
      <c r="Q4" s="6"/>
      <c r="R4" s="6"/>
      <c r="S4" s="6"/>
      <c r="T4" s="6"/>
      <c r="U4" s="6"/>
      <c r="V4" s="6"/>
      <c r="W4" s="6"/>
      <c r="X4" s="6"/>
      <c r="Y4" s="9"/>
      <c r="Z4" s="9"/>
      <c r="AA4" s="9"/>
    </row>
    <row r="5" spans="1:27" ht="12" customHeight="1">
      <c r="I5" s="10" t="s">
        <v>1</v>
      </c>
      <c r="J5" s="10"/>
      <c r="K5" s="11"/>
      <c r="L5" s="11"/>
      <c r="O5" s="6"/>
      <c r="P5" s="6"/>
      <c r="Q5" s="6"/>
      <c r="R5" s="6"/>
      <c r="S5" s="6"/>
      <c r="T5" s="6"/>
      <c r="U5" s="6"/>
      <c r="V5" s="6"/>
      <c r="W5" s="6"/>
      <c r="X5" s="6"/>
      <c r="Y5" s="9"/>
      <c r="Z5" s="9"/>
      <c r="AA5" s="9"/>
    </row>
    <row r="6" spans="1:27" ht="6" customHeight="1">
      <c r="O6" s="6"/>
      <c r="P6" s="6"/>
      <c r="Q6" s="6"/>
      <c r="R6" s="6"/>
      <c r="S6" s="6"/>
      <c r="T6" s="6"/>
      <c r="U6" s="6"/>
      <c r="V6" s="6"/>
      <c r="W6" s="6"/>
      <c r="X6" s="6"/>
      <c r="Y6" s="9"/>
      <c r="Z6" s="9"/>
      <c r="AA6" s="9"/>
    </row>
    <row r="7" spans="1:27" ht="14.25" customHeight="1">
      <c r="A7" s="10" t="s">
        <v>2</v>
      </c>
      <c r="B7" s="349">
        <f ca="1">TODAY()</f>
        <v>46221</v>
      </c>
      <c r="C7" s="349"/>
      <c r="D7" s="349"/>
      <c r="F7" s="12" t="s">
        <v>3</v>
      </c>
      <c r="G7" s="12" t="s">
        <v>4</v>
      </c>
      <c r="H7" s="13"/>
      <c r="I7" s="3" t="s">
        <v>5</v>
      </c>
      <c r="J7" s="3" t="s">
        <v>6</v>
      </c>
      <c r="K7" s="3" t="s">
        <v>7</v>
      </c>
      <c r="L7" s="3" t="s">
        <v>8</v>
      </c>
      <c r="O7" s="6"/>
      <c r="P7" s="6"/>
      <c r="Q7" s="6"/>
      <c r="R7" s="14"/>
      <c r="S7" s="14"/>
      <c r="T7" s="14"/>
      <c r="U7" s="15"/>
      <c r="V7" s="15"/>
      <c r="W7" s="15"/>
      <c r="X7" s="6"/>
      <c r="Y7" s="9"/>
      <c r="Z7" s="9"/>
      <c r="AA7" s="9"/>
    </row>
    <row r="8" spans="1:27" ht="18.75" customHeight="1">
      <c r="F8" s="16"/>
      <c r="G8" s="16"/>
      <c r="I8" s="3"/>
      <c r="J8" s="3"/>
      <c r="K8" s="3"/>
      <c r="L8" s="3"/>
      <c r="O8" s="6"/>
      <c r="P8" s="6"/>
      <c r="Q8" s="6"/>
      <c r="R8" s="14"/>
      <c r="S8" s="14"/>
      <c r="T8" s="14"/>
      <c r="U8" s="15"/>
      <c r="V8" s="15"/>
      <c r="W8" s="15"/>
      <c r="X8" s="6"/>
      <c r="Y8" s="9"/>
      <c r="Z8" s="9"/>
      <c r="AA8" s="9"/>
    </row>
    <row r="9" spans="1:27" ht="15" customHeight="1">
      <c r="A9" s="345" t="s">
        <v>9</v>
      </c>
      <c r="B9" s="345"/>
      <c r="C9" s="17" t="s">
        <v>10</v>
      </c>
      <c r="D9" s="18"/>
      <c r="O9" s="6"/>
      <c r="P9" s="6"/>
      <c r="Q9" s="6"/>
      <c r="R9" s="14"/>
      <c r="S9" s="14"/>
      <c r="T9" s="14"/>
      <c r="U9" s="19"/>
      <c r="V9" s="15"/>
      <c r="W9" s="15"/>
      <c r="X9" s="15"/>
      <c r="Y9" s="9"/>
      <c r="Z9" s="9"/>
      <c r="AA9" s="9"/>
    </row>
    <row r="10" spans="1:27" ht="15" customHeight="1">
      <c r="A10" s="345" t="s">
        <v>11</v>
      </c>
      <c r="B10" s="345"/>
      <c r="C10" s="17"/>
      <c r="D10" s="18"/>
      <c r="F10" s="20" t="s">
        <v>12</v>
      </c>
      <c r="G10" s="20" t="s">
        <v>13</v>
      </c>
      <c r="H10" s="20" t="s">
        <v>14</v>
      </c>
      <c r="J10" s="13"/>
      <c r="K10" s="13"/>
      <c r="L10" s="13"/>
      <c r="N10" s="21"/>
      <c r="O10" s="6"/>
      <c r="P10" s="6"/>
      <c r="R10" s="22"/>
      <c r="U10" s="23"/>
      <c r="Z10" s="9"/>
      <c r="AA10" s="9"/>
    </row>
    <row r="11" spans="1:27" ht="15" customHeight="1">
      <c r="A11" s="346" t="s">
        <v>15</v>
      </c>
      <c r="B11" s="346"/>
      <c r="C11" s="24"/>
      <c r="D11" s="25"/>
      <c r="F11" s="3"/>
      <c r="G11" s="3"/>
      <c r="H11" s="3"/>
      <c r="J11" s="13"/>
      <c r="K11" s="13"/>
      <c r="L11" s="13"/>
      <c r="N11" s="26"/>
      <c r="O11" s="6"/>
      <c r="P11" s="14"/>
      <c r="S11" s="23"/>
      <c r="Z11" s="9"/>
      <c r="AA11" s="9"/>
    </row>
    <row r="12" spans="1:27" ht="11.25" customHeight="1">
      <c r="N12" s="21"/>
      <c r="O12" s="6"/>
      <c r="P12" s="14"/>
      <c r="Q12" s="6"/>
      <c r="R12" s="14"/>
      <c r="S12" s="27"/>
      <c r="T12" s="27"/>
      <c r="U12" s="28"/>
      <c r="V12" s="28"/>
      <c r="W12" s="28"/>
      <c r="X12" s="15"/>
      <c r="Y12" s="9"/>
      <c r="Z12" s="9"/>
      <c r="AA12" s="9"/>
    </row>
    <row r="13" spans="1:27" s="13" customFormat="1" ht="22.5" customHeight="1">
      <c r="A13" s="3"/>
      <c r="B13" s="29" t="s">
        <v>16</v>
      </c>
      <c r="C13" s="4" t="s">
        <v>17</v>
      </c>
      <c r="D13" s="4" t="s">
        <v>18</v>
      </c>
      <c r="E13" s="347" t="s">
        <v>19</v>
      </c>
      <c r="F13" s="347"/>
      <c r="G13" s="30" t="s">
        <v>20</v>
      </c>
      <c r="H13" s="31" t="s">
        <v>21</v>
      </c>
      <c r="I13" s="367">
        <f ca="1">TODAY()</f>
        <v>46221</v>
      </c>
      <c r="J13" s="367"/>
      <c r="K13" s="367"/>
      <c r="L13" s="367"/>
      <c r="M13" s="32" t="s">
        <v>22</v>
      </c>
      <c r="N13" s="33"/>
      <c r="O13" s="6"/>
      <c r="P13" s="14"/>
      <c r="Q13" s="6"/>
      <c r="R13" s="14"/>
      <c r="S13" s="27"/>
      <c r="T13" s="27"/>
      <c r="U13" s="28"/>
      <c r="V13" s="28"/>
      <c r="W13" s="28"/>
      <c r="X13" s="15"/>
      <c r="Y13" s="9"/>
      <c r="Z13" s="34"/>
      <c r="AA13" s="34"/>
    </row>
    <row r="14" spans="1:27" ht="15.75" customHeight="1">
      <c r="A14" s="3">
        <v>1</v>
      </c>
      <c r="B14" s="35" t="s">
        <v>23</v>
      </c>
      <c r="C14" s="36" t="s">
        <v>24</v>
      </c>
      <c r="D14" s="37">
        <v>100000</v>
      </c>
      <c r="E14" s="38"/>
      <c r="F14" s="7">
        <v>1500</v>
      </c>
      <c r="G14" s="39"/>
      <c r="H14" s="40">
        <f t="shared" ref="H14:H25" si="0">F14+G14</f>
        <v>1500</v>
      </c>
      <c r="I14" s="41" t="str">
        <f ca="1">IFERROR(VLOOKUP(J14,펀드목록!$A$1:$B$1210,2,FALSE()),IFERROR(VLOOKUP(J14,INDIRECT("'"&amp;운용사목록!$A$2&amp;"'!$A:$B"),2,FALSE()),IFERROR(VLOOKUP(J14,INDIRECT("'"&amp;운용사목록!$A$3&amp;"'!$A:$B"),2,FALSE()),IFERROR(VLOOKUP(J14,INDIRECT("'"&amp;운용사목록!$A$4&amp;"'!$A:$B"),2,FALSE()),IFERROR(VLOOKUP(J14,INDIRECT("'"&amp;운용사목록!$A$5&amp;"'!$A:$B"),2,FALSE()),IFERROR(VLOOKUP(J14,INDIRECT("'"&amp;운용사목록!$A$6&amp;"'!$A:$B"),2,FALSE()),""))))))</f>
        <v>KSFC</v>
      </c>
      <c r="J14" s="42">
        <v>1850</v>
      </c>
      <c r="K14" s="43">
        <v>46280</v>
      </c>
      <c r="L14" s="44"/>
      <c r="M14" s="45" t="str">
        <f ca="1">IF(OR(J14="",J14=0),"",IF(IFERROR(MATCH(J14,펀드목록!$A:$A,0),0)&gt;0,"펀드",IF(IFERROR(MATCH(J14,INDIRECT("'"&amp;운용사목록!$A$2&amp;"'!$A:$A"),0),0)&gt;0,운용사목록!$A$2,IF(IFERROR(MATCH(J14,INDIRECT("'"&amp;운용사목록!$A$3&amp;"'!$A:$A"),0),0)&gt;0,운용사목록!$A$3,IF(IFERROR(MATCH(J14,INDIRECT("'"&amp;운용사목록!$A$4&amp;"'!$A:$A"),0),0)&gt;0,운용사목록!$A$4,IF(IFERROR(MATCH(J14,INDIRECT("'"&amp;운용사목록!$A$5&amp;"'!$A:$A"),0),0)&gt;0,운용사목록!$A$5,IF(IFERROR(MATCH(J14,INDIRECT("'"&amp;운용사목록!$A$6&amp;"'!$A:$A"),0),0)&gt;0,운용사목록!$A$6,"")))))))</f>
        <v>펀드</v>
      </c>
      <c r="N14" s="46"/>
      <c r="O14" s="6"/>
      <c r="P14" s="6"/>
      <c r="Q14" s="6"/>
      <c r="R14" s="14"/>
      <c r="S14" s="27"/>
      <c r="T14" s="27"/>
      <c r="U14" s="28"/>
      <c r="V14" s="28"/>
      <c r="W14" s="28"/>
      <c r="X14" s="15"/>
      <c r="Y14" s="9"/>
      <c r="Z14" s="9"/>
      <c r="AA14" s="9"/>
    </row>
    <row r="15" spans="1:27" ht="15.75" customHeight="1">
      <c r="A15" s="3">
        <v>2</v>
      </c>
      <c r="B15" s="35" t="s">
        <v>25</v>
      </c>
      <c r="C15" s="36" t="s">
        <v>24</v>
      </c>
      <c r="D15" s="37">
        <v>150000</v>
      </c>
      <c r="E15" s="38"/>
      <c r="F15" s="7">
        <v>1500</v>
      </c>
      <c r="G15" s="39"/>
      <c r="H15" s="40">
        <f t="shared" si="0"/>
        <v>1500</v>
      </c>
      <c r="I15" s="41" t="str">
        <f ca="1">IFERROR(VLOOKUP(J15,펀드목록!$A$1:$B$1210,2,FALSE()),IFERROR(VLOOKUP(J15,INDIRECT("'"&amp;운용사목록!$A$2&amp;"'!$A:$B"),2,FALSE()),IFERROR(VLOOKUP(J15,INDIRECT("'"&amp;운용사목록!$A$3&amp;"'!$A:$B"),2,FALSE()),IFERROR(VLOOKUP(J15,INDIRECT("'"&amp;운용사목록!$A$4&amp;"'!$A:$B"),2,FALSE()),IFERROR(VLOOKUP(J15,INDIRECT("'"&amp;운용사목록!$A$5&amp;"'!$A:$B"),2,FALSE()),IFERROR(VLOOKUP(J15,INDIRECT("'"&amp;운용사목록!$A$6&amp;"'!$A:$B"),2,FALSE()),""))))))</f>
        <v>KB</v>
      </c>
      <c r="J15" s="42">
        <v>1849</v>
      </c>
      <c r="K15" s="43">
        <v>46280</v>
      </c>
      <c r="L15" s="47"/>
      <c r="M15" s="45" t="str">
        <f ca="1">IF(OR(J15="",J15=0),"",IF(IFERROR(MATCH(J15,펀드목록!$A:$A,0),0)&gt;0,"펀드",IF(IFERROR(MATCH(J15,INDIRECT("'"&amp;운용사목록!$A$2&amp;"'!$A:$A"),0),0)&gt;0,운용사목록!$A$2,IF(IFERROR(MATCH(J15,INDIRECT("'"&amp;운용사목록!$A$3&amp;"'!$A:$A"),0),0)&gt;0,운용사목록!$A$3,IF(IFERROR(MATCH(J15,INDIRECT("'"&amp;운용사목록!$A$4&amp;"'!$A:$A"),0),0)&gt;0,운용사목록!$A$4,IF(IFERROR(MATCH(J15,INDIRECT("'"&amp;운용사목록!$A$5&amp;"'!$A:$A"),0),0)&gt;0,운용사목록!$A$5,IF(IFERROR(MATCH(J15,INDIRECT("'"&amp;운용사목록!$A$6&amp;"'!$A:$A"),0),0)&gt;0,운용사목록!$A$6,"")))))))</f>
        <v>펀드</v>
      </c>
      <c r="N15" s="48"/>
      <c r="O15" s="6"/>
      <c r="P15" s="6"/>
      <c r="Q15" s="6"/>
      <c r="R15" s="49"/>
      <c r="S15" s="50"/>
      <c r="T15" s="50"/>
      <c r="U15" s="50"/>
      <c r="V15" s="28"/>
      <c r="W15" s="28"/>
      <c r="X15" s="15"/>
      <c r="Y15" s="34"/>
      <c r="Z15" s="9"/>
      <c r="AA15" s="9"/>
    </row>
    <row r="16" spans="1:27" ht="15.75" customHeight="1">
      <c r="A16" s="3">
        <v>3</v>
      </c>
      <c r="B16" s="35"/>
      <c r="C16" s="36"/>
      <c r="D16" s="37"/>
      <c r="E16" s="38"/>
      <c r="F16" s="7"/>
      <c r="G16" s="39"/>
      <c r="H16" s="40">
        <f t="shared" si="0"/>
        <v>0</v>
      </c>
      <c r="I16" s="41" t="str">
        <f ca="1">IFERROR(VLOOKUP(J16,펀드목록!$A$1:$B$1210,2,FALSE()),IFERROR(VLOOKUP(J16,INDIRECT("'"&amp;운용사목록!$A$2&amp;"'!$A:$B"),2,FALSE()),IFERROR(VLOOKUP(J16,INDIRECT("'"&amp;운용사목록!$A$3&amp;"'!$A:$B"),2,FALSE()),IFERROR(VLOOKUP(J16,INDIRECT("'"&amp;운용사목록!$A$4&amp;"'!$A:$B"),2,FALSE()),IFERROR(VLOOKUP(J16,INDIRECT("'"&amp;운용사목록!$A$5&amp;"'!$A:$B"),2,FALSE()),IFERROR(VLOOKUP(J16,INDIRECT("'"&amp;운용사목록!$A$6&amp;"'!$A:$B"),2,FALSE()),""))))))</f>
        <v>HSBC</v>
      </c>
      <c r="J16" s="42" t="s">
        <v>554</v>
      </c>
      <c r="K16" s="43"/>
      <c r="L16" s="47"/>
      <c r="M16" s="45" t="str">
        <f ca="1">IF(OR(J16="",J16=0),"",IF(IFERROR(MATCH(J16,펀드목록!$A:$A,0),0)&gt;0,"펀드",IF(IFERROR(MATCH(J16,INDIRECT("'"&amp;운용사목록!$A$2&amp;"'!$A:$A"),0),0)&gt;0,운용사목록!$A$2,IF(IFERROR(MATCH(J16,INDIRECT("'"&amp;운용사목록!$A$3&amp;"'!$A:$A"),0),0)&gt;0,운용사목록!$A$3,IF(IFERROR(MATCH(J16,INDIRECT("'"&amp;운용사목록!$A$4&amp;"'!$A:$A"),0),0)&gt;0,운용사목록!$A$4,IF(IFERROR(MATCH(J16,INDIRECT("'"&amp;운용사목록!$A$5&amp;"'!$A:$A"),0),0)&gt;0,운용사목록!$A$5,IF(IFERROR(MATCH(J16,INDIRECT("'"&amp;운용사목록!$A$6&amp;"'!$A:$A"),0),0)&gt;0,운용사목록!$A$6,"")))))))</f>
        <v>우리</v>
      </c>
      <c r="N16" s="51"/>
      <c r="O16" s="6"/>
      <c r="P16" s="6"/>
      <c r="Q16" s="368" t="s">
        <v>558</v>
      </c>
      <c r="R16" s="14"/>
      <c r="S16" s="27"/>
      <c r="T16" s="27"/>
      <c r="U16" s="28"/>
      <c r="V16" s="28"/>
      <c r="W16" s="28"/>
      <c r="X16" s="15"/>
      <c r="Y16" s="9"/>
      <c r="Z16" s="9"/>
      <c r="AA16" s="9"/>
    </row>
    <row r="17" spans="1:27" ht="15.75" customHeight="1">
      <c r="A17" s="3">
        <v>4</v>
      </c>
      <c r="B17" s="35"/>
      <c r="C17" s="36"/>
      <c r="D17" s="37"/>
      <c r="E17" s="38"/>
      <c r="F17" s="7"/>
      <c r="G17" s="39"/>
      <c r="H17" s="40">
        <f t="shared" si="0"/>
        <v>0</v>
      </c>
      <c r="I17" s="41" t="str">
        <f ca="1">IFERROR(VLOOKUP(J17,펀드목록!$A$1:$B$1210,2,FALSE()),IFERROR(VLOOKUP(J17,INDIRECT("'"&amp;운용사목록!$A$2&amp;"'!$A:$B"),2,FALSE()),IFERROR(VLOOKUP(J17,INDIRECT("'"&amp;운용사목록!$A$3&amp;"'!$A:$B"),2,FALSE()),IFERROR(VLOOKUP(J17,INDIRECT("'"&amp;운용사목록!$A$4&amp;"'!$A:$B"),2,FALSE()),IFERROR(VLOOKUP(J17,INDIRECT("'"&amp;운용사목록!$A$5&amp;"'!$A:$B"),2,FALSE()),IFERROR(VLOOKUP(J17,INDIRECT("'"&amp;운용사목록!$A$6&amp;"'!$A:$B"),2,FALSE()),""))))))</f>
        <v/>
      </c>
      <c r="J17" s="42"/>
      <c r="K17" s="43"/>
      <c r="L17" s="47"/>
      <c r="M17" s="52" t="str">
        <f ca="1">IF(OR(J17="",J17=0),"",IF(IFERROR(MATCH(J17,펀드목록!$A:$A,0),0)&gt;0,"펀드",IF(IFERROR(MATCH(J17,INDIRECT("'"&amp;운용사목록!$A$2&amp;"'!$A:$A"),0),0)&gt;0,운용사목록!$A$2,IF(IFERROR(MATCH(J17,INDIRECT("'"&amp;운용사목록!$A$3&amp;"'!$A:$A"),0),0)&gt;0,운용사목록!$A$3,IF(IFERROR(MATCH(J17,INDIRECT("'"&amp;운용사목록!$A$4&amp;"'!$A:$A"),0),0)&gt;0,운용사목록!$A$4,IF(IFERROR(MATCH(J17,INDIRECT("'"&amp;운용사목록!$A$5&amp;"'!$A:$A"),0),0)&gt;0,운용사목록!$A$5,IF(IFERROR(MATCH(J17,INDIRECT("'"&amp;운용사목록!$A$6&amp;"'!$A:$A"),0),0)&gt;0,운용사목록!$A$6,"")))))))</f>
        <v/>
      </c>
      <c r="N17" s="51"/>
      <c r="O17" s="6"/>
      <c r="P17" s="6"/>
      <c r="Q17" s="369" t="s">
        <v>559</v>
      </c>
      <c r="R17" s="14"/>
      <c r="S17" s="27"/>
      <c r="T17" s="27"/>
      <c r="U17" s="28"/>
      <c r="V17" s="28"/>
      <c r="W17" s="28"/>
      <c r="X17" s="15"/>
      <c r="Y17" s="9"/>
      <c r="Z17" s="9"/>
      <c r="AA17" s="9"/>
    </row>
    <row r="18" spans="1:27" ht="15.75" customHeight="1">
      <c r="A18" s="3">
        <v>5</v>
      </c>
      <c r="B18" s="35"/>
      <c r="C18" s="36"/>
      <c r="D18" s="37"/>
      <c r="E18" s="38"/>
      <c r="F18" s="7"/>
      <c r="G18" s="39"/>
      <c r="H18" s="40">
        <f t="shared" si="0"/>
        <v>0</v>
      </c>
      <c r="I18" s="41" t="str">
        <f ca="1">IFERROR(VLOOKUP(J18,펀드목록!$A$1:$B$1210,2,FALSE()),IFERROR(VLOOKUP(J18,INDIRECT("'"&amp;운용사목록!$A$2&amp;"'!$A:$B"),2,FALSE()),IFERROR(VLOOKUP(J18,INDIRECT("'"&amp;운용사목록!$A$3&amp;"'!$A:$B"),2,FALSE()),IFERROR(VLOOKUP(J18,INDIRECT("'"&amp;운용사목록!$A$4&amp;"'!$A:$B"),2,FALSE()),IFERROR(VLOOKUP(J18,INDIRECT("'"&amp;운용사목록!$A$5&amp;"'!$A:$B"),2,FALSE()),IFERROR(VLOOKUP(J18,INDIRECT("'"&amp;운용사목록!$A$6&amp;"'!$A:$B"),2,FALSE()),""))))))</f>
        <v/>
      </c>
      <c r="J18" s="42"/>
      <c r="K18" s="43"/>
      <c r="L18" s="47"/>
      <c r="M18" s="45" t="str">
        <f ca="1">IF(OR(J18="",J18=0),"",IF(IFERROR(MATCH(J18,펀드목록!$A:$A,0),0)&gt;0,"펀드",IF(IFERROR(MATCH(J18,INDIRECT("'"&amp;운용사목록!$A$2&amp;"'!$A:$A"),0),0)&gt;0,운용사목록!$A$2,IF(IFERROR(MATCH(J18,INDIRECT("'"&amp;운용사목록!$A$3&amp;"'!$A:$A"),0),0)&gt;0,운용사목록!$A$3,IF(IFERROR(MATCH(J18,INDIRECT("'"&amp;운용사목록!$A$4&amp;"'!$A:$A"),0),0)&gt;0,운용사목록!$A$4,IF(IFERROR(MATCH(J18,INDIRECT("'"&amp;운용사목록!$A$5&amp;"'!$A:$A"),0),0)&gt;0,운용사목록!$A$5,IF(IFERROR(MATCH(J18,INDIRECT("'"&amp;운용사목록!$A$6&amp;"'!$A:$A"),0),0)&gt;0,운용사목록!$A$6,"")))))))</f>
        <v/>
      </c>
      <c r="N18" s="51"/>
      <c r="O18" s="6"/>
      <c r="P18" s="6"/>
      <c r="Q18" s="368" t="s">
        <v>556</v>
      </c>
      <c r="R18" s="14"/>
      <c r="S18" s="14"/>
      <c r="T18" s="14"/>
      <c r="U18" s="15"/>
      <c r="V18" s="15"/>
      <c r="W18" s="15"/>
      <c r="X18" s="15"/>
      <c r="Y18" s="9"/>
      <c r="Z18" s="9"/>
      <c r="AA18" s="9"/>
    </row>
    <row r="19" spans="1:27" ht="15" customHeight="1">
      <c r="A19" s="3">
        <v>6</v>
      </c>
      <c r="B19" s="35"/>
      <c r="C19" s="36"/>
      <c r="D19" s="37"/>
      <c r="E19" s="38"/>
      <c r="F19" s="7"/>
      <c r="G19" s="39"/>
      <c r="H19" s="40">
        <f t="shared" si="0"/>
        <v>0</v>
      </c>
      <c r="I19" s="41" t="str">
        <f ca="1">IFERROR(VLOOKUP(J19,펀드목록!$A$1:$B$1210,2,FALSE()),IFERROR(VLOOKUP(J19,INDIRECT("'"&amp;운용사목록!$A$2&amp;"'!$A:$B"),2,FALSE()),IFERROR(VLOOKUP(J19,INDIRECT("'"&amp;운용사목록!$A$3&amp;"'!$A:$B"),2,FALSE()),IFERROR(VLOOKUP(J19,INDIRECT("'"&amp;운용사목록!$A$4&amp;"'!$A:$B"),2,FALSE()),IFERROR(VLOOKUP(J19,INDIRECT("'"&amp;운용사목록!$A$5&amp;"'!$A:$B"),2,FALSE()),IFERROR(VLOOKUP(J19,INDIRECT("'"&amp;운용사목록!$A$6&amp;"'!$A:$B"),2,FALSE()),""))))))</f>
        <v/>
      </c>
      <c r="J19" s="42"/>
      <c r="K19" s="43"/>
      <c r="L19" s="47"/>
      <c r="M19" s="52" t="str">
        <f ca="1">IF(OR(J19="",J19=0),"",IF(IFERROR(MATCH(J19,펀드목록!$A:$A,0),0)&gt;0,"펀드",IF(IFERROR(MATCH(J19,INDIRECT("'"&amp;운용사목록!$A$2&amp;"'!$A:$A"),0),0)&gt;0,운용사목록!$A$2,IF(IFERROR(MATCH(J19,INDIRECT("'"&amp;운용사목록!$A$3&amp;"'!$A:$A"),0),0)&gt;0,운용사목록!$A$3,IF(IFERROR(MATCH(J19,INDIRECT("'"&amp;운용사목록!$A$4&amp;"'!$A:$A"),0),0)&gt;0,운용사목록!$A$4,IF(IFERROR(MATCH(J19,INDIRECT("'"&amp;운용사목록!$A$5&amp;"'!$A:$A"),0),0)&gt;0,운용사목록!$A$5,IF(IFERROR(MATCH(J19,INDIRECT("'"&amp;운용사목록!$A$6&amp;"'!$A:$A"),0),0)&gt;0,운용사목록!$A$6,"")))))))</f>
        <v/>
      </c>
      <c r="N19" s="51"/>
      <c r="O19" s="6"/>
      <c r="P19" s="6"/>
      <c r="Q19" s="368" t="s">
        <v>557</v>
      </c>
      <c r="R19" s="53"/>
      <c r="S19" s="53"/>
      <c r="T19" s="53"/>
      <c r="U19" s="53"/>
      <c r="V19" s="54"/>
      <c r="W19" s="54"/>
      <c r="X19" s="15"/>
      <c r="Y19" s="9"/>
      <c r="Z19" s="9"/>
      <c r="AA19" s="9"/>
    </row>
    <row r="20" spans="1:27" ht="15.75" customHeight="1">
      <c r="A20" s="3">
        <v>7</v>
      </c>
      <c r="B20" s="35"/>
      <c r="C20" s="36"/>
      <c r="D20" s="37"/>
      <c r="E20" s="38"/>
      <c r="F20" s="7"/>
      <c r="G20" s="39"/>
      <c r="H20" s="40">
        <f t="shared" si="0"/>
        <v>0</v>
      </c>
      <c r="I20" s="41" t="str">
        <f ca="1">IFERROR(VLOOKUP(J20,펀드목록!$A$1:$B$1210,2,FALSE()),IFERROR(VLOOKUP(J20,INDIRECT("'"&amp;운용사목록!$A$2&amp;"'!$A:$B"),2,FALSE()),IFERROR(VLOOKUP(J20,INDIRECT("'"&amp;운용사목록!$A$3&amp;"'!$A:$B"),2,FALSE()),IFERROR(VLOOKUP(J20,INDIRECT("'"&amp;운용사목록!$A$4&amp;"'!$A:$B"),2,FALSE()),IFERROR(VLOOKUP(J20,INDIRECT("'"&amp;운용사목록!$A$5&amp;"'!$A:$B"),2,FALSE()),IFERROR(VLOOKUP(J20,INDIRECT("'"&amp;운용사목록!$A$6&amp;"'!$A:$B"),2,FALSE()),""))))))</f>
        <v/>
      </c>
      <c r="J20" s="42"/>
      <c r="K20" s="43"/>
      <c r="L20" s="47"/>
      <c r="M20" s="52" t="str">
        <f ca="1">IF(OR(J20="",J20=0),"",IF(IFERROR(MATCH(J20,펀드목록!$A:$A,0),0)&gt;0,"펀드",IF(IFERROR(MATCH(J20,INDIRECT("'"&amp;운용사목록!$A$2&amp;"'!$A:$A"),0),0)&gt;0,운용사목록!$A$2,IF(IFERROR(MATCH(J20,INDIRECT("'"&amp;운용사목록!$A$3&amp;"'!$A:$A"),0),0)&gt;0,운용사목록!$A$3,IF(IFERROR(MATCH(J20,INDIRECT("'"&amp;운용사목록!$A$4&amp;"'!$A:$A"),0),0)&gt;0,운용사목록!$A$4,IF(IFERROR(MATCH(J20,INDIRECT("'"&amp;운용사목록!$A$5&amp;"'!$A:$A"),0),0)&gt;0,운용사목록!$A$5,IF(IFERROR(MATCH(J20,INDIRECT("'"&amp;운용사목록!$A$6&amp;"'!$A:$A"),0),0)&gt;0,운용사목록!$A$6,"")))))))</f>
        <v/>
      </c>
      <c r="N20" s="51"/>
      <c r="O20" s="6"/>
      <c r="P20" s="6"/>
      <c r="Q20" s="368" t="s">
        <v>555</v>
      </c>
      <c r="R20" s="55"/>
      <c r="S20" s="55"/>
      <c r="T20" s="55"/>
      <c r="U20" s="56"/>
      <c r="V20" s="56"/>
      <c r="W20" s="56"/>
      <c r="X20" s="54"/>
      <c r="Y20" s="57"/>
      <c r="Z20" s="9"/>
      <c r="AA20" s="9"/>
    </row>
    <row r="21" spans="1:27" ht="15.75" customHeight="1">
      <c r="A21" s="3">
        <v>8</v>
      </c>
      <c r="B21" s="35"/>
      <c r="C21" s="36"/>
      <c r="D21" s="37"/>
      <c r="E21" s="38"/>
      <c r="F21" s="7"/>
      <c r="G21" s="39"/>
      <c r="H21" s="40">
        <f t="shared" si="0"/>
        <v>0</v>
      </c>
      <c r="I21" s="41" t="str">
        <f ca="1">IFERROR(VLOOKUP(J21,펀드목록!$A$1:$B$1210,2,FALSE()),IFERROR(VLOOKUP(J21,INDIRECT("'"&amp;운용사목록!$A$2&amp;"'!$A:$B"),2,FALSE()),IFERROR(VLOOKUP(J21,INDIRECT("'"&amp;운용사목록!$A$3&amp;"'!$A:$B"),2,FALSE()),IFERROR(VLOOKUP(J21,INDIRECT("'"&amp;운용사목록!$A$4&amp;"'!$A:$B"),2,FALSE()),IFERROR(VLOOKUP(J21,INDIRECT("'"&amp;운용사목록!$A$5&amp;"'!$A:$B"),2,FALSE()),IFERROR(VLOOKUP(J21,INDIRECT("'"&amp;운용사목록!$A$6&amp;"'!$A:$B"),2,FALSE()),""))))))</f>
        <v/>
      </c>
      <c r="J21" s="42"/>
      <c r="K21" s="43"/>
      <c r="L21" s="47"/>
      <c r="M21" s="52" t="str">
        <f ca="1">IF(OR(J21="",J21=0),"",IF(IFERROR(MATCH(J21,펀드목록!$A:$A,0),0)&gt;0,"펀드",IF(IFERROR(MATCH(J21,INDIRECT("'"&amp;운용사목록!$A$2&amp;"'!$A:$A"),0),0)&gt;0,운용사목록!$A$2,IF(IFERROR(MATCH(J21,INDIRECT("'"&amp;운용사목록!$A$3&amp;"'!$A:$A"),0),0)&gt;0,운용사목록!$A$3,IF(IFERROR(MATCH(J21,INDIRECT("'"&amp;운용사목록!$A$4&amp;"'!$A:$A"),0),0)&gt;0,운용사목록!$A$4,IF(IFERROR(MATCH(J21,INDIRECT("'"&amp;운용사목록!$A$5&amp;"'!$A:$A"),0),0)&gt;0,운용사목록!$A$5,IF(IFERROR(MATCH(J21,INDIRECT("'"&amp;운용사목록!$A$6&amp;"'!$A:$A"),0),0)&gt;0,운용사목록!$A$6,"")))))))</f>
        <v/>
      </c>
      <c r="N21" s="58"/>
      <c r="O21" s="6"/>
      <c r="P21" s="6"/>
      <c r="Q21" s="370" t="s">
        <v>560</v>
      </c>
      <c r="R21" s="6"/>
      <c r="S21" s="14"/>
      <c r="T21" s="14"/>
      <c r="U21" s="14"/>
      <c r="V21" s="15"/>
      <c r="W21" s="15"/>
      <c r="X21" s="56"/>
    </row>
    <row r="22" spans="1:27" ht="15.75" customHeight="1">
      <c r="A22" s="3">
        <v>9</v>
      </c>
      <c r="B22" s="35"/>
      <c r="C22" s="36"/>
      <c r="D22" s="37"/>
      <c r="E22" s="38"/>
      <c r="F22" s="7"/>
      <c r="G22" s="39"/>
      <c r="H22" s="40">
        <f t="shared" si="0"/>
        <v>0</v>
      </c>
      <c r="I22" s="41" t="str">
        <f ca="1">IFERROR(VLOOKUP(J22,펀드목록!$A$1:$B$1210,2,FALSE()),IFERROR(VLOOKUP(J22,INDIRECT("'"&amp;운용사목록!$A$2&amp;"'!$A:$B"),2,FALSE()),IFERROR(VLOOKUP(J22,INDIRECT("'"&amp;운용사목록!$A$3&amp;"'!$A:$B"),2,FALSE()),IFERROR(VLOOKUP(J22,INDIRECT("'"&amp;운용사목록!$A$4&amp;"'!$A:$B"),2,FALSE()),IFERROR(VLOOKUP(J22,INDIRECT("'"&amp;운용사목록!$A$5&amp;"'!$A:$B"),2,FALSE()),IFERROR(VLOOKUP(J22,INDIRECT("'"&amp;운용사목록!$A$6&amp;"'!$A:$B"),2,FALSE()),""))))))</f>
        <v/>
      </c>
      <c r="J22" s="42"/>
      <c r="K22" s="43"/>
      <c r="L22" s="47"/>
      <c r="M22" s="52" t="str">
        <f ca="1">IF(OR(J22="",J22=0),"",IF(IFERROR(MATCH(J22,펀드목록!$A:$A,0),0)&gt;0,"펀드",IF(IFERROR(MATCH(J22,INDIRECT("'"&amp;운용사목록!$A$2&amp;"'!$A:$A"),0),0)&gt;0,운용사목록!$A$2,IF(IFERROR(MATCH(J22,INDIRECT("'"&amp;운용사목록!$A$3&amp;"'!$A:$A"),0),0)&gt;0,운용사목록!$A$3,IF(IFERROR(MATCH(J22,INDIRECT("'"&amp;운용사목록!$A$4&amp;"'!$A:$A"),0),0)&gt;0,운용사목록!$A$4,IF(IFERROR(MATCH(J22,INDIRECT("'"&amp;운용사목록!$A$5&amp;"'!$A:$A"),0),0)&gt;0,운용사목록!$A$5,IF(IFERROR(MATCH(J22,INDIRECT("'"&amp;운용사목록!$A$6&amp;"'!$A:$A"),0),0)&gt;0,운용사목록!$A$6,"")))))))</f>
        <v/>
      </c>
      <c r="N22" s="58"/>
      <c r="O22" s="6"/>
      <c r="P22" s="6"/>
      <c r="Q22" s="6"/>
      <c r="R22" s="6"/>
      <c r="S22" s="14"/>
      <c r="T22" s="15"/>
      <c r="U22" s="15"/>
      <c r="V22" s="14"/>
      <c r="W22" s="15"/>
      <c r="X22" s="15"/>
    </row>
    <row r="23" spans="1:27" ht="15" customHeight="1">
      <c r="A23" s="3">
        <v>10</v>
      </c>
      <c r="B23" s="35"/>
      <c r="C23" s="36"/>
      <c r="D23" s="37"/>
      <c r="E23" s="59"/>
      <c r="F23" s="7"/>
      <c r="G23" s="39"/>
      <c r="H23" s="40">
        <f t="shared" si="0"/>
        <v>0</v>
      </c>
      <c r="I23" s="41" t="str">
        <f ca="1">IFERROR(VLOOKUP(J23,펀드목록!$A$1:$B$1210,2,FALSE()),IFERROR(VLOOKUP(J23,INDIRECT("'"&amp;운용사목록!$A$2&amp;"'!$A:$B"),2,FALSE()),IFERROR(VLOOKUP(J23,INDIRECT("'"&amp;운용사목록!$A$3&amp;"'!$A:$B"),2,FALSE()),IFERROR(VLOOKUP(J23,INDIRECT("'"&amp;운용사목록!$A$4&amp;"'!$A:$B"),2,FALSE()),IFERROR(VLOOKUP(J23,INDIRECT("'"&amp;운용사목록!$A$5&amp;"'!$A:$B"),2,FALSE()),IFERROR(VLOOKUP(J23,INDIRECT("'"&amp;운용사목록!$A$6&amp;"'!$A:$B"),2,FALSE()),""))))))</f>
        <v/>
      </c>
      <c r="J23" s="42"/>
      <c r="K23" s="43"/>
      <c r="L23" s="60"/>
      <c r="M23" s="52" t="str">
        <f ca="1">IF(OR(J23="",J23=0),"",IF(IFERROR(MATCH(J23,펀드목록!$A:$A,0),0)&gt;0,"펀드",IF(IFERROR(MATCH(J23,INDIRECT("'"&amp;운용사목록!$A$2&amp;"'!$A:$A"),0),0)&gt;0,운용사목록!$A$2,IF(IFERROR(MATCH(J23,INDIRECT("'"&amp;운용사목록!$A$3&amp;"'!$A:$A"),0),0)&gt;0,운용사목록!$A$3,IF(IFERROR(MATCH(J23,INDIRECT("'"&amp;운용사목록!$A$4&amp;"'!$A:$A"),0),0)&gt;0,운용사목록!$A$4,IF(IFERROR(MATCH(J23,INDIRECT("'"&amp;운용사목록!$A$5&amp;"'!$A:$A"),0),0)&gt;0,운용사목록!$A$5,IF(IFERROR(MATCH(J23,INDIRECT("'"&amp;운용사목록!$A$6&amp;"'!$A:$A"),0),0)&gt;0,운용사목록!$A$6,"")))))))</f>
        <v/>
      </c>
      <c r="N23" s="58"/>
      <c r="O23" s="6"/>
      <c r="P23" s="6"/>
      <c r="Q23" s="6"/>
      <c r="R23" s="6"/>
      <c r="S23" s="14"/>
      <c r="T23" s="15"/>
      <c r="U23" s="15"/>
      <c r="V23" s="14"/>
      <c r="W23" s="15"/>
      <c r="X23" s="15"/>
    </row>
    <row r="24" spans="1:27" ht="15.75" customHeight="1">
      <c r="A24" s="3">
        <v>11</v>
      </c>
      <c r="B24" s="35"/>
      <c r="C24" s="36"/>
      <c r="D24" s="37"/>
      <c r="E24" s="59"/>
      <c r="F24" s="7"/>
      <c r="G24" s="39"/>
      <c r="H24" s="40">
        <f t="shared" si="0"/>
        <v>0</v>
      </c>
      <c r="I24" s="41" t="str">
        <f ca="1">IFERROR(VLOOKUP(J24,펀드목록!$A$1:$B$1210,2,FALSE()),IFERROR(VLOOKUP(J24,INDIRECT("'"&amp;운용사목록!$A$2&amp;"'!$A:$B"),2,FALSE()),IFERROR(VLOOKUP(J24,INDIRECT("'"&amp;운용사목록!$A$3&amp;"'!$A:$B"),2,FALSE()),IFERROR(VLOOKUP(J24,INDIRECT("'"&amp;운용사목록!$A$4&amp;"'!$A:$B"),2,FALSE()),IFERROR(VLOOKUP(J24,INDIRECT("'"&amp;운용사목록!$A$5&amp;"'!$A:$B"),2,FALSE()),IFERROR(VLOOKUP(J24,INDIRECT("'"&amp;운용사목록!$A$6&amp;"'!$A:$B"),2,FALSE()),""))))))</f>
        <v/>
      </c>
      <c r="J24" s="42"/>
      <c r="K24" s="43"/>
      <c r="L24" s="60"/>
      <c r="M24" s="52" t="str">
        <f ca="1">IF(OR(J24="",J24=0),"",IF(IFERROR(MATCH(J24,펀드목록!$A:$A,0),0)&gt;0,"펀드",IF(IFERROR(MATCH(J24,INDIRECT("'"&amp;운용사목록!$A$2&amp;"'!$A:$A"),0),0)&gt;0,운용사목록!$A$2,IF(IFERROR(MATCH(J24,INDIRECT("'"&amp;운용사목록!$A$3&amp;"'!$A:$A"),0),0)&gt;0,운용사목록!$A$3,IF(IFERROR(MATCH(J24,INDIRECT("'"&amp;운용사목록!$A$4&amp;"'!$A:$A"),0),0)&gt;0,운용사목록!$A$4,IF(IFERROR(MATCH(J24,INDIRECT("'"&amp;운용사목록!$A$5&amp;"'!$A:$A"),0),0)&gt;0,운용사목록!$A$5,IF(IFERROR(MATCH(J24,INDIRECT("'"&amp;운용사목록!$A$6&amp;"'!$A:$A"),0),0)&gt;0,운용사목록!$A$6,"")))))))</f>
        <v/>
      </c>
      <c r="N24" s="58"/>
      <c r="O24" s="6"/>
      <c r="P24" s="6"/>
      <c r="Q24" s="6"/>
      <c r="R24" s="6"/>
      <c r="S24" s="14"/>
      <c r="T24" s="15"/>
      <c r="U24" s="15"/>
      <c r="V24" s="14"/>
      <c r="W24" s="15"/>
      <c r="X24" s="15"/>
    </row>
    <row r="25" spans="1:27" ht="15.75" customHeight="1">
      <c r="A25" s="3">
        <v>12</v>
      </c>
      <c r="B25" s="35"/>
      <c r="C25" s="36"/>
      <c r="D25" s="37"/>
      <c r="E25" s="59"/>
      <c r="F25" s="7"/>
      <c r="G25" s="39"/>
      <c r="H25" s="40">
        <f t="shared" si="0"/>
        <v>0</v>
      </c>
      <c r="I25" s="41" t="str">
        <f ca="1">IFERROR(VLOOKUP(J25,펀드목록!$A$1:$B$1210,2,FALSE()),IFERROR(VLOOKUP(J25,INDIRECT("'"&amp;운용사목록!$A$2&amp;"'!$A:$B"),2,FALSE()),IFERROR(VLOOKUP(J25,INDIRECT("'"&amp;운용사목록!$A$3&amp;"'!$A:$B"),2,FALSE()),IFERROR(VLOOKUP(J25,INDIRECT("'"&amp;운용사목록!$A$4&amp;"'!$A:$B"),2,FALSE()),IFERROR(VLOOKUP(J25,INDIRECT("'"&amp;운용사목록!$A$5&amp;"'!$A:$B"),2,FALSE()),IFERROR(VLOOKUP(J25,INDIRECT("'"&amp;운용사목록!$A$6&amp;"'!$A:$B"),2,FALSE()),""))))))</f>
        <v/>
      </c>
      <c r="J25" s="42"/>
      <c r="K25" s="43"/>
      <c r="L25" s="60"/>
      <c r="M25" s="52" t="str">
        <f ca="1">IF(OR(J25="",J25=0),"",IF(IFERROR(MATCH(J25,펀드목록!$A:$A,0),0)&gt;0,"펀드",IF(IFERROR(MATCH(J25,INDIRECT("'"&amp;운용사목록!$A$2&amp;"'!$A:$A"),0),0)&gt;0,운용사목록!$A$2,IF(IFERROR(MATCH(J25,INDIRECT("'"&amp;운용사목록!$A$3&amp;"'!$A:$A"),0),0)&gt;0,운용사목록!$A$3,IF(IFERROR(MATCH(J25,INDIRECT("'"&amp;운용사목록!$A$4&amp;"'!$A:$A"),0),0)&gt;0,운용사목록!$A$4,IF(IFERROR(MATCH(J25,INDIRECT("'"&amp;운용사목록!$A$5&amp;"'!$A:$A"),0),0)&gt;0,운용사목록!$A$5,IF(IFERROR(MATCH(J25,INDIRECT("'"&amp;운용사목록!$A$6&amp;"'!$A:$A"),0),0)&gt;0,운용사목록!$A$6,"")))))))</f>
        <v/>
      </c>
      <c r="N25" s="58"/>
      <c r="O25" s="6"/>
      <c r="P25" s="6"/>
      <c r="Q25" s="6"/>
      <c r="R25" s="6"/>
      <c r="S25" s="14"/>
      <c r="T25" s="15"/>
      <c r="U25" s="15"/>
      <c r="V25" s="14"/>
      <c r="W25" s="15"/>
      <c r="X25" s="15"/>
    </row>
    <row r="26" spans="1:27" ht="15.75" customHeight="1">
      <c r="A26" s="13"/>
      <c r="B26" s="61"/>
      <c r="C26" s="34"/>
      <c r="D26" s="62"/>
      <c r="E26" s="63"/>
      <c r="F26" s="64"/>
      <c r="G26" s="65"/>
      <c r="H26" s="66"/>
      <c r="I26" s="66"/>
      <c r="J26" s="66"/>
      <c r="K26" s="67"/>
      <c r="L26" s="68"/>
      <c r="N26" s="58"/>
      <c r="O26" s="6"/>
      <c r="P26" s="6"/>
      <c r="Q26" s="6"/>
      <c r="R26" s="6"/>
      <c r="S26" s="27"/>
      <c r="T26" s="28"/>
      <c r="U26" s="28"/>
      <c r="V26" s="27"/>
      <c r="W26" s="28"/>
      <c r="X26" s="15"/>
    </row>
    <row r="27" spans="1:27" ht="16.5" customHeight="1">
      <c r="D27" s="69"/>
      <c r="E27" s="70"/>
      <c r="G27" s="13"/>
      <c r="H27" s="13"/>
      <c r="I27" s="13"/>
      <c r="J27" s="13"/>
      <c r="K27" s="13"/>
      <c r="M27" s="71"/>
      <c r="O27" s="6"/>
      <c r="P27" s="6"/>
      <c r="Q27" s="6"/>
      <c r="R27" s="6"/>
      <c r="S27" s="27"/>
      <c r="T27" s="28"/>
      <c r="U27" s="28"/>
      <c r="V27" s="27"/>
      <c r="W27" s="28"/>
      <c r="X27" s="15"/>
    </row>
    <row r="28" spans="1:27" ht="18" customHeight="1">
      <c r="A28" s="342" t="s">
        <v>26</v>
      </c>
      <c r="B28" s="342"/>
      <c r="C28" s="72"/>
      <c r="D28" s="73"/>
      <c r="E28" s="70"/>
      <c r="F28" s="74"/>
      <c r="G28" s="75"/>
      <c r="H28" s="76"/>
      <c r="I28" s="77"/>
      <c r="J28" s="78"/>
      <c r="K28" s="78"/>
      <c r="L28" s="79"/>
      <c r="O28" s="6"/>
      <c r="P28" s="6"/>
      <c r="Q28" s="6"/>
      <c r="R28" s="6"/>
      <c r="S28" s="27"/>
      <c r="T28" s="28"/>
      <c r="U28" s="28"/>
      <c r="V28" s="27"/>
      <c r="W28" s="28"/>
      <c r="X28" s="15"/>
    </row>
    <row r="29" spans="1:27" ht="18" customHeight="1">
      <c r="A29" s="342" t="s">
        <v>27</v>
      </c>
      <c r="B29" s="342"/>
      <c r="C29" s="80"/>
      <c r="D29" s="69"/>
      <c r="E29" s="70"/>
      <c r="F29" s="81"/>
      <c r="G29" s="75"/>
      <c r="H29" s="77"/>
      <c r="I29" s="82"/>
      <c r="J29" s="82"/>
      <c r="K29" s="348">
        <f>D28*E28+D28*K28+D27*E27+D29*E29</f>
        <v>0</v>
      </c>
      <c r="L29" s="348"/>
      <c r="O29" s="6"/>
      <c r="P29" s="6"/>
      <c r="S29" s="27"/>
      <c r="T29" s="28"/>
      <c r="U29" s="28"/>
      <c r="V29" s="27"/>
      <c r="W29" s="28"/>
      <c r="X29" s="15"/>
    </row>
    <row r="30" spans="1:27" ht="5.25" customHeight="1">
      <c r="A30" s="83"/>
      <c r="B30" s="83"/>
      <c r="C30" s="83"/>
      <c r="D30" s="83"/>
      <c r="E30" s="84"/>
      <c r="F30" s="85"/>
      <c r="G30" s="86"/>
      <c r="H30" s="86"/>
      <c r="I30" s="87"/>
      <c r="J30" s="84"/>
      <c r="K30" s="84"/>
      <c r="L30" s="84"/>
      <c r="M30" s="88"/>
      <c r="O30" s="6"/>
      <c r="P30" s="6"/>
      <c r="S30" s="27"/>
      <c r="T30" s="28"/>
      <c r="U30" s="28"/>
      <c r="V30" s="27"/>
      <c r="W30" s="28"/>
      <c r="X30" s="23"/>
    </row>
    <row r="31" spans="1:27" ht="3.75" customHeight="1">
      <c r="A31" s="88"/>
      <c r="B31" s="88"/>
      <c r="C31" s="88"/>
      <c r="D31" s="88"/>
      <c r="E31" s="89"/>
      <c r="F31" s="90"/>
      <c r="G31" s="91"/>
      <c r="H31" s="91"/>
      <c r="I31" s="92"/>
      <c r="J31" s="89"/>
      <c r="K31" s="89"/>
      <c r="L31" s="89"/>
      <c r="M31" s="88"/>
      <c r="O31" s="6"/>
      <c r="P31" s="6"/>
      <c r="S31" s="27"/>
      <c r="T31" s="28"/>
      <c r="U31" s="28"/>
      <c r="V31" s="27"/>
      <c r="W31" s="28"/>
      <c r="X31" s="23"/>
    </row>
    <row r="32" spans="1:27" ht="4.5" customHeight="1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O32" s="6"/>
      <c r="P32" s="6"/>
      <c r="S32" s="27"/>
      <c r="T32" s="28"/>
      <c r="U32" s="28"/>
      <c r="V32" s="27"/>
      <c r="W32" s="28"/>
      <c r="X32" s="23"/>
    </row>
    <row r="33" spans="1:24" ht="6.75" customHeight="1">
      <c r="O33" s="6"/>
      <c r="P33" s="6"/>
      <c r="S33" s="27"/>
      <c r="T33" s="28"/>
      <c r="U33" s="28"/>
      <c r="V33" s="27"/>
      <c r="W33" s="28"/>
      <c r="X33" s="23"/>
    </row>
    <row r="34" spans="1:24" ht="12" customHeight="1">
      <c r="D34" s="94"/>
      <c r="O34" s="6"/>
      <c r="P34" s="6"/>
      <c r="S34" s="27"/>
      <c r="T34" s="28"/>
      <c r="U34" s="28"/>
      <c r="V34" s="27"/>
      <c r="W34" s="28"/>
      <c r="X34" s="23"/>
    </row>
    <row r="35" spans="1:24" ht="12" customHeight="1">
      <c r="D35" s="94"/>
      <c r="O35" s="6"/>
      <c r="P35" s="6"/>
      <c r="S35" s="27"/>
      <c r="T35" s="28"/>
      <c r="U35" s="28"/>
      <c r="V35" s="27"/>
      <c r="W35" s="28"/>
      <c r="X35" s="23"/>
    </row>
    <row r="36" spans="1:24" ht="13.5" customHeight="1">
      <c r="A36" s="95"/>
      <c r="D36" s="96"/>
      <c r="E36" s="343" t="s">
        <v>0</v>
      </c>
      <c r="F36" s="343"/>
      <c r="G36" s="343"/>
      <c r="H36" s="343"/>
      <c r="S36" s="27"/>
      <c r="T36" s="28"/>
      <c r="U36" s="28"/>
      <c r="V36" s="27"/>
      <c r="W36" s="28"/>
      <c r="X36" s="23"/>
    </row>
    <row r="37" spans="1:24" ht="13.5" customHeight="1">
      <c r="D37" s="8"/>
      <c r="E37" s="343"/>
      <c r="F37" s="343"/>
      <c r="G37" s="343"/>
      <c r="H37" s="343"/>
      <c r="S37" s="27"/>
      <c r="T37" s="28"/>
      <c r="U37" s="28"/>
      <c r="V37" s="27"/>
      <c r="W37" s="28"/>
    </row>
    <row r="38" spans="1:24" ht="12" customHeight="1">
      <c r="S38" s="27"/>
      <c r="T38" s="28"/>
      <c r="U38" s="28"/>
      <c r="V38" s="27"/>
      <c r="W38" s="28"/>
    </row>
    <row r="39" spans="1:24" ht="12" customHeight="1">
      <c r="I39" s="97"/>
      <c r="J39" s="10"/>
      <c r="K39" s="11"/>
      <c r="L39" s="11"/>
      <c r="S39" s="27"/>
      <c r="T39" s="28"/>
      <c r="U39" s="28"/>
      <c r="V39" s="27"/>
      <c r="W39" s="28"/>
    </row>
    <row r="40" spans="1:24" ht="6" customHeight="1">
      <c r="S40" s="27"/>
      <c r="T40" s="28"/>
      <c r="U40" s="28"/>
      <c r="V40" s="27"/>
      <c r="W40" s="28"/>
    </row>
    <row r="41" spans="1:24" ht="12" customHeight="1">
      <c r="A41" s="10" t="s">
        <v>2</v>
      </c>
      <c r="B41" s="344">
        <f ca="1">TODAY()</f>
        <v>46221</v>
      </c>
      <c r="C41" s="344"/>
      <c r="D41" s="344"/>
      <c r="F41" s="98">
        <v>1493.6</v>
      </c>
      <c r="G41" s="99"/>
      <c r="H41" s="13"/>
      <c r="I41" s="3" t="s">
        <v>5</v>
      </c>
      <c r="J41" s="3" t="s">
        <v>6</v>
      </c>
      <c r="K41" s="3" t="s">
        <v>7</v>
      </c>
      <c r="L41" s="3" t="s">
        <v>8</v>
      </c>
      <c r="S41" s="27"/>
      <c r="T41" s="28"/>
      <c r="U41" s="28"/>
      <c r="V41" s="27"/>
      <c r="W41" s="28"/>
    </row>
    <row r="42" spans="1:24" ht="18.75" customHeight="1">
      <c r="F42" s="16"/>
      <c r="G42" s="16"/>
      <c r="I42" s="3"/>
      <c r="J42" s="3"/>
      <c r="K42" s="3"/>
      <c r="L42" s="3"/>
      <c r="S42" s="27"/>
      <c r="T42" s="28"/>
      <c r="U42" s="28"/>
      <c r="V42" s="27"/>
      <c r="W42" s="28"/>
    </row>
    <row r="43" spans="1:24" ht="15" customHeight="1">
      <c r="A43" s="345" t="s">
        <v>9</v>
      </c>
      <c r="B43" s="345"/>
      <c r="C43" s="17"/>
      <c r="D43" s="18"/>
      <c r="Q43" s="22"/>
      <c r="S43" s="27"/>
      <c r="T43" s="28"/>
      <c r="U43" s="28"/>
      <c r="V43" s="27"/>
      <c r="W43" s="28"/>
    </row>
    <row r="44" spans="1:24" ht="15" customHeight="1">
      <c r="A44" s="345" t="s">
        <v>11</v>
      </c>
      <c r="B44" s="345"/>
      <c r="C44" s="17"/>
      <c r="D44" s="18"/>
      <c r="F44" s="20" t="s">
        <v>12</v>
      </c>
      <c r="G44" s="20" t="s">
        <v>13</v>
      </c>
      <c r="H44" s="20" t="s">
        <v>14</v>
      </c>
      <c r="J44" s="13"/>
      <c r="K44" s="13"/>
      <c r="L44" s="13"/>
      <c r="Q44" s="22"/>
      <c r="S44" s="27"/>
      <c r="T44" s="28"/>
      <c r="U44" s="28"/>
      <c r="V44" s="27"/>
      <c r="W44" s="28"/>
    </row>
    <row r="45" spans="1:24" ht="15" customHeight="1">
      <c r="A45" s="346" t="s">
        <v>15</v>
      </c>
      <c r="B45" s="346"/>
      <c r="C45" s="24"/>
      <c r="D45" s="25"/>
      <c r="F45" s="3"/>
      <c r="G45" s="3"/>
      <c r="H45" s="3"/>
      <c r="J45" s="13"/>
      <c r="K45" s="13"/>
      <c r="L45" s="13"/>
      <c r="Q45" s="22"/>
      <c r="S45" s="27"/>
      <c r="T45" s="28"/>
      <c r="U45" s="28"/>
      <c r="V45" s="27"/>
      <c r="W45" s="28"/>
    </row>
    <row r="46" spans="1:24" ht="12" customHeight="1">
      <c r="Q46" s="22"/>
      <c r="S46" s="27"/>
      <c r="T46" s="28"/>
      <c r="U46" s="28"/>
      <c r="V46" s="27"/>
      <c r="W46" s="28"/>
    </row>
    <row r="47" spans="1:24" ht="22.5" customHeight="1">
      <c r="A47" s="3"/>
      <c r="B47" s="20" t="s">
        <v>16</v>
      </c>
      <c r="C47" s="36" t="s">
        <v>24</v>
      </c>
      <c r="D47" s="3" t="s">
        <v>18</v>
      </c>
      <c r="E47" s="341" t="s">
        <v>19</v>
      </c>
      <c r="F47" s="341"/>
      <c r="G47" s="100" t="s">
        <v>20</v>
      </c>
      <c r="H47" s="101" t="s">
        <v>21</v>
      </c>
      <c r="I47" s="341" t="s">
        <v>28</v>
      </c>
      <c r="J47" s="341"/>
      <c r="K47" s="341"/>
      <c r="L47" s="341"/>
      <c r="Q47" s="22"/>
      <c r="S47" s="27"/>
      <c r="T47" s="28"/>
      <c r="U47" s="28"/>
      <c r="V47" s="27"/>
      <c r="W47" s="28"/>
    </row>
    <row r="48" spans="1:24" ht="22.5" customHeight="1">
      <c r="A48" s="3">
        <v>1</v>
      </c>
      <c r="B48" s="3"/>
      <c r="C48" s="3"/>
      <c r="D48" s="102"/>
      <c r="E48" s="103"/>
      <c r="F48" s="104"/>
      <c r="G48" s="105"/>
      <c r="H48" s="106"/>
      <c r="I48" s="107"/>
      <c r="J48" s="108"/>
      <c r="K48" s="109"/>
      <c r="L48" s="60"/>
      <c r="Q48" s="22"/>
      <c r="S48" s="27"/>
      <c r="T48" s="28"/>
      <c r="U48" s="28"/>
      <c r="V48" s="27"/>
      <c r="W48" s="28"/>
    </row>
    <row r="49" spans="1:23" ht="22.5" customHeight="1">
      <c r="A49" s="3">
        <v>2</v>
      </c>
      <c r="B49" s="3"/>
      <c r="C49" s="3"/>
      <c r="D49" s="102"/>
      <c r="E49" s="110"/>
      <c r="F49" s="104"/>
      <c r="G49" s="105"/>
      <c r="H49" s="106"/>
      <c r="I49" s="107"/>
      <c r="J49" s="108"/>
      <c r="K49" s="109"/>
      <c r="L49" s="60"/>
      <c r="Q49" s="22"/>
      <c r="S49" s="27"/>
      <c r="T49" s="28"/>
      <c r="U49" s="28"/>
      <c r="V49" s="27"/>
      <c r="W49" s="28"/>
    </row>
    <row r="50" spans="1:23" ht="22.5" customHeight="1">
      <c r="A50" s="3">
        <v>3</v>
      </c>
      <c r="B50" s="3"/>
      <c r="C50" s="3"/>
      <c r="D50" s="102"/>
      <c r="E50" s="103"/>
      <c r="F50" s="104"/>
      <c r="G50" s="105"/>
      <c r="H50" s="106"/>
      <c r="I50" s="107"/>
      <c r="J50" s="108"/>
      <c r="K50" s="109"/>
      <c r="L50" s="60"/>
      <c r="Q50" s="22"/>
      <c r="S50" s="27"/>
      <c r="T50" s="28"/>
      <c r="U50" s="28"/>
      <c r="V50" s="27"/>
      <c r="W50" s="28"/>
    </row>
    <row r="51" spans="1:23" ht="22.5" customHeight="1">
      <c r="A51" s="3">
        <v>4</v>
      </c>
      <c r="B51" s="3"/>
      <c r="C51" s="3"/>
      <c r="D51" s="102"/>
      <c r="E51" s="110"/>
      <c r="F51" s="104"/>
      <c r="G51" s="105"/>
      <c r="H51" s="106"/>
      <c r="I51" s="107"/>
      <c r="J51" s="108"/>
      <c r="K51" s="109"/>
      <c r="L51" s="60"/>
      <c r="Q51" s="22"/>
      <c r="S51" s="27"/>
      <c r="T51" s="28"/>
      <c r="U51" s="28"/>
      <c r="V51" s="27"/>
      <c r="W51" s="28"/>
    </row>
    <row r="52" spans="1:23" ht="22.5" customHeight="1">
      <c r="A52" s="3">
        <v>5</v>
      </c>
      <c r="B52" s="3"/>
      <c r="C52" s="3"/>
      <c r="D52" s="102"/>
      <c r="E52" s="110"/>
      <c r="F52" s="104"/>
      <c r="G52" s="105"/>
      <c r="H52" s="106"/>
      <c r="I52" s="107"/>
      <c r="J52" s="108"/>
      <c r="K52" s="109"/>
      <c r="L52" s="60"/>
      <c r="Q52" s="22"/>
      <c r="S52" s="22"/>
      <c r="T52" s="23"/>
      <c r="V52" s="23"/>
    </row>
    <row r="53" spans="1:23" ht="22.5" customHeight="1">
      <c r="A53" s="3">
        <v>6</v>
      </c>
      <c r="B53" s="3"/>
      <c r="C53" s="3"/>
      <c r="D53" s="102"/>
      <c r="E53" s="110"/>
      <c r="F53" s="104"/>
      <c r="G53" s="105"/>
      <c r="H53" s="106"/>
      <c r="I53" s="107"/>
      <c r="J53" s="108"/>
      <c r="K53" s="109"/>
      <c r="L53" s="60"/>
      <c r="Q53" s="22"/>
      <c r="S53" s="22"/>
      <c r="T53" s="23"/>
      <c r="V53" s="23"/>
    </row>
    <row r="54" spans="1:23" ht="12.75" customHeight="1">
      <c r="A54" s="3">
        <v>7</v>
      </c>
      <c r="B54" s="3"/>
      <c r="C54" s="3"/>
      <c r="D54" s="102"/>
      <c r="E54" s="110"/>
      <c r="F54" s="104"/>
      <c r="G54" s="105"/>
      <c r="H54" s="106"/>
      <c r="I54" s="107"/>
      <c r="J54" s="108"/>
      <c r="K54" s="109"/>
      <c r="L54" s="60"/>
      <c r="M54" s="13"/>
      <c r="Q54" s="22"/>
      <c r="S54" s="22"/>
      <c r="T54" s="23"/>
      <c r="V54" s="23"/>
    </row>
    <row r="55" spans="1:23" ht="20.25" customHeight="1">
      <c r="A55" s="3">
        <v>8</v>
      </c>
      <c r="B55" s="3"/>
      <c r="C55" s="3"/>
      <c r="D55" s="102"/>
      <c r="E55" s="110"/>
      <c r="F55" s="104"/>
      <c r="G55" s="105"/>
      <c r="H55" s="106"/>
      <c r="I55" s="107"/>
      <c r="J55" s="108"/>
      <c r="K55" s="109"/>
      <c r="L55" s="60"/>
      <c r="Q55" s="22"/>
      <c r="S55" s="22"/>
      <c r="T55" s="23"/>
    </row>
    <row r="56" spans="1:23" ht="20.25" customHeight="1">
      <c r="A56" s="3">
        <v>9</v>
      </c>
      <c r="B56" s="3"/>
      <c r="C56" s="3"/>
      <c r="D56" s="102"/>
      <c r="E56" s="110"/>
      <c r="F56" s="104"/>
      <c r="G56" s="105"/>
      <c r="H56" s="106"/>
      <c r="I56" s="107"/>
      <c r="J56" s="108"/>
      <c r="K56" s="109"/>
      <c r="L56" s="60"/>
      <c r="Q56" s="22"/>
      <c r="S56" s="22"/>
      <c r="T56" s="23"/>
    </row>
    <row r="57" spans="1:23" ht="11.25" customHeight="1">
      <c r="A57" s="3">
        <v>10</v>
      </c>
      <c r="B57" s="3"/>
      <c r="C57" s="3"/>
      <c r="D57" s="102"/>
      <c r="E57" s="110"/>
      <c r="F57" s="104"/>
      <c r="G57" s="105"/>
      <c r="H57" s="106"/>
      <c r="I57" s="107"/>
      <c r="J57" s="108"/>
      <c r="K57" s="109"/>
      <c r="L57" s="60"/>
    </row>
    <row r="58" spans="1:23" ht="11.25" customHeight="1">
      <c r="A58" s="3">
        <v>11</v>
      </c>
      <c r="B58" s="3"/>
      <c r="C58" s="3"/>
      <c r="D58" s="102"/>
      <c r="E58" s="16"/>
      <c r="F58" s="104"/>
      <c r="G58" s="105"/>
      <c r="H58" s="106"/>
      <c r="I58" s="107"/>
      <c r="J58" s="108"/>
      <c r="K58" s="109"/>
      <c r="L58" s="60"/>
    </row>
    <row r="59" spans="1:23" ht="11.25" customHeight="1">
      <c r="A59" s="3">
        <v>12</v>
      </c>
      <c r="B59" s="3"/>
      <c r="C59" s="3"/>
      <c r="D59" s="102"/>
      <c r="E59" s="16"/>
      <c r="F59" s="104"/>
      <c r="G59" s="105"/>
      <c r="H59" s="106">
        <f>F59+G59</f>
        <v>0</v>
      </c>
      <c r="I59" s="107"/>
      <c r="J59" s="108"/>
      <c r="K59" s="109"/>
      <c r="L59" s="60"/>
    </row>
    <row r="60" spans="1:23" ht="11.25" customHeight="1">
      <c r="E60" s="13"/>
      <c r="F60" s="13"/>
      <c r="G60" s="13"/>
      <c r="H60" s="13"/>
      <c r="I60" s="13"/>
      <c r="J60" s="13"/>
      <c r="K60" s="13"/>
    </row>
    <row r="61" spans="1:23" ht="11.25" customHeight="1">
      <c r="A61" s="342" t="s">
        <v>26</v>
      </c>
      <c r="B61" s="342"/>
      <c r="C61" s="111"/>
      <c r="D61" s="112" t="s">
        <v>29</v>
      </c>
      <c r="E61" s="104"/>
      <c r="F61" s="113"/>
      <c r="G61" s="82"/>
      <c r="H61" s="82"/>
      <c r="I61" s="82"/>
      <c r="J61" s="82"/>
      <c r="K61" s="78"/>
      <c r="L61" s="79"/>
    </row>
    <row r="62" spans="1:23" ht="11.25" customHeight="1">
      <c r="A62" s="342" t="s">
        <v>27</v>
      </c>
      <c r="B62" s="342"/>
      <c r="C62" s="114"/>
      <c r="D62" s="115">
        <f>D49+D51+D53+D55+D57+D59</f>
        <v>0</v>
      </c>
      <c r="E62" s="82"/>
      <c r="F62" s="116"/>
      <c r="G62" s="82"/>
      <c r="H62" s="82"/>
      <c r="I62" s="82"/>
      <c r="J62" s="82"/>
      <c r="K62" s="75"/>
      <c r="L62" s="117"/>
    </row>
    <row r="63" spans="1:23" ht="11.25" customHeight="1"/>
    <row r="64" spans="1:23" ht="11.25" customHeight="1"/>
    <row r="65" spans="4:6" ht="11.25" customHeight="1"/>
    <row r="66" spans="4:6" ht="12" customHeight="1">
      <c r="D66" s="118"/>
    </row>
    <row r="67" spans="4:6" ht="12" customHeight="1">
      <c r="D67" s="118"/>
      <c r="E67" s="118"/>
      <c r="F67" s="118"/>
    </row>
    <row r="68" spans="4:6" ht="12" customHeight="1">
      <c r="D68" s="118"/>
      <c r="E68" s="118"/>
      <c r="F68" s="118"/>
    </row>
    <row r="69" spans="4:6" ht="12" customHeight="1">
      <c r="D69" s="118"/>
      <c r="E69" s="118"/>
      <c r="F69" s="118"/>
    </row>
    <row r="70" spans="4:6" ht="12" customHeight="1">
      <c r="D70" s="118"/>
      <c r="E70" s="118"/>
      <c r="F70" s="118"/>
    </row>
    <row r="71" spans="4:6" ht="12" customHeight="1">
      <c r="D71" s="118"/>
      <c r="E71" s="118"/>
      <c r="F71" s="118"/>
    </row>
    <row r="72" spans="4:6" ht="12" customHeight="1">
      <c r="D72" s="118"/>
      <c r="E72" s="118"/>
      <c r="F72" s="118"/>
    </row>
    <row r="73" spans="4:6" ht="12" customHeight="1">
      <c r="D73" s="118"/>
      <c r="E73" s="118"/>
      <c r="F73" s="118"/>
    </row>
    <row r="74" spans="4:6" ht="12" customHeight="1">
      <c r="D74" s="118"/>
      <c r="E74" s="118"/>
      <c r="F74" s="118"/>
    </row>
  </sheetData>
  <mergeCells count="19">
    <mergeCell ref="E2:H3"/>
    <mergeCell ref="B7:D7"/>
    <mergeCell ref="A9:B9"/>
    <mergeCell ref="A10:B10"/>
    <mergeCell ref="A11:B11"/>
    <mergeCell ref="E13:F13"/>
    <mergeCell ref="I13:L13"/>
    <mergeCell ref="A28:B28"/>
    <mergeCell ref="A29:B29"/>
    <mergeCell ref="K29:L29"/>
    <mergeCell ref="E47:F47"/>
    <mergeCell ref="I47:L47"/>
    <mergeCell ref="A61:B61"/>
    <mergeCell ref="A62:B62"/>
    <mergeCell ref="E36:H37"/>
    <mergeCell ref="B41:D41"/>
    <mergeCell ref="A43:B43"/>
    <mergeCell ref="A44:B44"/>
    <mergeCell ref="A45:B45"/>
  </mergeCells>
  <phoneticPr fontId="9" type="noConversion"/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J41"/>
  <sheetViews>
    <sheetView zoomScaleNormal="100" workbookViewId="0">
      <selection activeCell="B19" sqref="B19"/>
    </sheetView>
  </sheetViews>
  <sheetFormatPr defaultColWidth="8.5" defaultRowHeight="14"/>
  <cols>
    <col min="1" max="1" width="10" customWidth="1"/>
    <col min="2" max="2" width="8" customWidth="1"/>
    <col min="3" max="3" width="16" customWidth="1"/>
    <col min="4" max="4" width="10" customWidth="1"/>
    <col min="5" max="5" width="8" customWidth="1"/>
    <col min="6" max="6" width="16" customWidth="1"/>
    <col min="7" max="8" width="11" customWidth="1"/>
    <col min="9" max="9" width="14" customWidth="1"/>
    <col min="10" max="10" width="10" customWidth="1"/>
  </cols>
  <sheetData>
    <row r="1" spans="1:10" ht="24" customHeight="1">
      <c r="A1" s="119" t="s">
        <v>32</v>
      </c>
      <c r="C1" s="350" t="s">
        <v>33</v>
      </c>
      <c r="D1" s="350"/>
      <c r="E1" s="350"/>
      <c r="F1" s="350"/>
      <c r="G1" s="350"/>
      <c r="H1" s="350"/>
    </row>
    <row r="2" spans="1:10" ht="15.75" customHeight="1">
      <c r="I2" s="351" t="str">
        <f ca="1">"TRADE DATE:  "&amp;TEXT('딜티켓 '!B7,"yyyy-mm-dd")</f>
        <v>TRADE DATE:  2026-07-18</v>
      </c>
      <c r="J2" s="351"/>
    </row>
    <row r="4" spans="1:10" ht="15.75" customHeight="1">
      <c r="A4" s="120" t="s">
        <v>34</v>
      </c>
      <c r="B4" s="121" t="s">
        <v>32</v>
      </c>
      <c r="C4" s="122"/>
      <c r="D4" s="122"/>
      <c r="E4" s="122"/>
      <c r="F4" s="122"/>
      <c r="G4" s="122"/>
      <c r="H4" s="122"/>
      <c r="I4" s="122"/>
      <c r="J4" s="122"/>
    </row>
    <row r="5" spans="1:10" ht="15.75" customHeight="1">
      <c r="A5" s="120" t="s">
        <v>35</v>
      </c>
      <c r="B5" s="123" t="str">
        <f>IFERROR(VLOOKUP(TRIM(LEFT('딜티켓 '!C9,FIND(" ",'딜티켓 '!C9&amp;" ")-1)),고객목록!$A$2:$B$100,2,FALSE()),'딜티켓 '!C9)</f>
        <v>우리자산운용</v>
      </c>
      <c r="C5" s="122"/>
      <c r="D5" s="122"/>
      <c r="E5" s="122"/>
      <c r="F5" s="122"/>
      <c r="G5" s="122"/>
      <c r="H5" s="122"/>
      <c r="I5" s="122"/>
      <c r="J5" s="122"/>
    </row>
    <row r="6" spans="1:10" ht="15.75" customHeight="1">
      <c r="A6" s="120" t="s">
        <v>36</v>
      </c>
      <c r="B6" s="121" t="s">
        <v>32</v>
      </c>
      <c r="C6" s="122"/>
      <c r="D6" s="122"/>
      <c r="E6" s="122"/>
      <c r="F6" s="122"/>
      <c r="G6" s="122"/>
      <c r="H6" s="122"/>
      <c r="I6" s="122"/>
      <c r="J6" s="122"/>
    </row>
    <row r="7" spans="1:10" ht="13.5" customHeight="1">
      <c r="A7" s="124" t="s">
        <v>37</v>
      </c>
      <c r="B7" s="125" t="s">
        <v>38</v>
      </c>
      <c r="C7" s="122"/>
      <c r="D7" s="122"/>
      <c r="E7" s="122"/>
      <c r="F7" s="122"/>
      <c r="G7" s="122"/>
      <c r="H7" s="122"/>
      <c r="I7" s="122"/>
      <c r="J7" s="122"/>
    </row>
    <row r="8" spans="1:10" ht="15.75" customHeight="1">
      <c r="A8" s="120" t="s">
        <v>39</v>
      </c>
      <c r="B8" s="126" t="s">
        <v>40</v>
      </c>
      <c r="C8" s="122"/>
      <c r="D8" s="122"/>
      <c r="E8" s="122"/>
      <c r="F8" s="122"/>
      <c r="G8" s="122"/>
      <c r="H8" s="122"/>
      <c r="I8" s="122"/>
      <c r="J8" s="122"/>
    </row>
    <row r="9" spans="1:10" ht="15.75" customHeight="1">
      <c r="A9" s="120" t="s">
        <v>41</v>
      </c>
      <c r="B9" s="121" t="s">
        <v>42</v>
      </c>
      <c r="C9" s="122"/>
      <c r="D9" s="122"/>
      <c r="E9" s="122"/>
      <c r="F9" s="122"/>
      <c r="G9" s="122"/>
      <c r="H9" s="122"/>
      <c r="I9" s="122"/>
      <c r="J9" s="122"/>
    </row>
    <row r="11" spans="1:10" ht="13.5" customHeight="1">
      <c r="A11" s="352" t="s">
        <v>43</v>
      </c>
      <c r="B11" s="352" t="str">
        <f>$B$5&amp;" 매수"</f>
        <v>우리자산운용 매수</v>
      </c>
      <c r="C11" s="352"/>
      <c r="D11" s="352" t="s">
        <v>44</v>
      </c>
      <c r="E11" s="352" t="str">
        <f>$B$5&amp;" 매도"</f>
        <v>우리자산운용 매도</v>
      </c>
      <c r="F11" s="352"/>
      <c r="G11" s="352" t="s">
        <v>45</v>
      </c>
      <c r="H11" s="352" t="s">
        <v>46</v>
      </c>
      <c r="I11" s="352" t="s">
        <v>47</v>
      </c>
      <c r="J11" s="352" t="s">
        <v>48</v>
      </c>
    </row>
    <row r="12" spans="1:10" ht="13.5" customHeight="1">
      <c r="A12" s="352"/>
      <c r="B12" s="2" t="s">
        <v>49</v>
      </c>
      <c r="C12" s="2" t="s">
        <v>50</v>
      </c>
      <c r="D12" s="352"/>
      <c r="E12" s="2" t="s">
        <v>49</v>
      </c>
      <c r="F12" s="2" t="s">
        <v>50</v>
      </c>
      <c r="G12" s="352"/>
      <c r="H12" s="352"/>
      <c r="I12" s="352"/>
      <c r="J12" s="352"/>
    </row>
    <row r="13" spans="1:10" ht="15.75" customHeight="1">
      <c r="A13" s="127">
        <f>IF(OR('딜티켓 '!$J$14="",'딜티켓 '!$J$14=0),"",'딜티켓 '!J14)</f>
        <v>1850</v>
      </c>
      <c r="B13" s="127" t="str">
        <f>IF(OR('딜티켓 '!$J$14="",'딜티켓 '!$J$14=0),"",IF('딜티켓 '!B14="S",'딜티켓 '!C14,"KRW"))</f>
        <v>KRW</v>
      </c>
      <c r="C13" s="128">
        <f>IF(OR('딜티켓 '!$J$14="",'딜티켓 '!$J$14=0),"",IF('딜티켓 '!B14="S",'딜티켓 '!D14,INT('딜티켓 '!D14*'딜티켓 '!H14)))</f>
        <v>150000000</v>
      </c>
      <c r="D13" s="129">
        <f>IF(OR('딜티켓 '!$J$14="",'딜티켓 '!$J$14=0),"",'딜티켓 '!H14)</f>
        <v>1500</v>
      </c>
      <c r="E13" s="127" t="str">
        <f>IF(OR('딜티켓 '!$J$14="",'딜티켓 '!$J$14=0),"",IF('딜티켓 '!B14="B",'딜티켓 '!C14,"KRW"))</f>
        <v>USD</v>
      </c>
      <c r="F13" s="128">
        <f>IF(OR('딜티켓 '!$J$14="",'딜티켓 '!$J$14=0),"",IF('딜티켓 '!B14="B",'딜티켓 '!D14,INT('딜티켓 '!D14*'딜티켓 '!H14)))</f>
        <v>100000</v>
      </c>
      <c r="G13" s="130">
        <f>IF(OR('딜티켓 '!$J$14="",'딜티켓 '!$J$14=0),"",IF('딜티켓 '!K14="","",'딜티켓 '!K14))</f>
        <v>46280</v>
      </c>
      <c r="H13" s="131"/>
      <c r="I13" s="132" t="str">
        <f ca="1">IF(OR('딜티켓 '!$J$14="",'딜티켓 '!$J$14=0),"",'딜티켓 '!I14)</f>
        <v>KSFC</v>
      </c>
      <c r="J13" s="131"/>
    </row>
    <row r="14" spans="1:10" ht="15.75" customHeight="1">
      <c r="A14" s="127">
        <f>IF(OR('딜티켓 '!$J$15="",'딜티켓 '!$J$15=0),"",'딜티켓 '!J15)</f>
        <v>1849</v>
      </c>
      <c r="B14" s="127" t="str">
        <f>IF(OR('딜티켓 '!$J$15="",'딜티켓 '!$J$15=0),"",IF('딜티켓 '!B15="S",'딜티켓 '!C15,"KRW"))</f>
        <v>USD</v>
      </c>
      <c r="C14" s="128">
        <f>IF(OR('딜티켓 '!$J$15="",'딜티켓 '!$J$15=0),"",IF('딜티켓 '!B15="S",'딜티켓 '!D15,INT('딜티켓 '!D15*'딜티켓 '!H15)))</f>
        <v>150000</v>
      </c>
      <c r="D14" s="129">
        <f>IF(OR('딜티켓 '!$J$15="",'딜티켓 '!$J$15=0),"",'딜티켓 '!H15)</f>
        <v>1500</v>
      </c>
      <c r="E14" s="127" t="str">
        <f>IF(OR('딜티켓 '!$J$15="",'딜티켓 '!$J$15=0),"",IF('딜티켓 '!B15="B",'딜티켓 '!C15,"KRW"))</f>
        <v>KRW</v>
      </c>
      <c r="F14" s="128">
        <f>IF(OR('딜티켓 '!$J$15="",'딜티켓 '!$J$15=0),"",IF('딜티켓 '!B15="B",'딜티켓 '!D15,INT('딜티켓 '!D15*'딜티켓 '!H15)))</f>
        <v>225000000</v>
      </c>
      <c r="G14" s="130">
        <f>IF(OR('딜티켓 '!$J$15="",'딜티켓 '!$J$15=0),"",IF('딜티켓 '!K15="","",'딜티켓 '!K15))</f>
        <v>46280</v>
      </c>
      <c r="H14" s="131"/>
      <c r="I14" s="132" t="str">
        <f ca="1">IF(OR('딜티켓 '!$J$15="",'딜티켓 '!$J$15=0),"",'딜티켓 '!I15)</f>
        <v>KB</v>
      </c>
      <c r="J14" s="131"/>
    </row>
    <row r="15" spans="1:10" ht="15.75" customHeight="1">
      <c r="A15" s="127" t="str">
        <f>IF(OR('딜티켓 '!$J$16="",'딜티켓 '!$J$16=0),"",'딜티켓 '!J16)</f>
        <v>FB20</v>
      </c>
      <c r="B15" s="127" t="str">
        <f>IF(OR('딜티켓 '!$J$16="",'딜티켓 '!$J$16=0),"",IF('딜티켓 '!B16="S",'딜티켓 '!C16,"KRW"))</f>
        <v>KRW</v>
      </c>
      <c r="C15" s="128">
        <f>IF(OR('딜티켓 '!$J$16="",'딜티켓 '!$J$16=0),"",IF('딜티켓 '!B16="S",'딜티켓 '!D16,INT('딜티켓 '!D16*'딜티켓 '!H16)))</f>
        <v>0</v>
      </c>
      <c r="D15" s="127">
        <f>IF(OR('딜티켓 '!$J$16="",'딜티켓 '!$J$16=0),"",'딜티켓 '!H16)</f>
        <v>0</v>
      </c>
      <c r="E15" s="127" t="str">
        <f>IF(OR('딜티켓 '!$J$16="",'딜티켓 '!$J$16=0),"",IF('딜티켓 '!B16="B",'딜티켓 '!C16,"KRW"))</f>
        <v>KRW</v>
      </c>
      <c r="F15" s="128">
        <f>IF(OR('딜티켓 '!$J$16="",'딜티켓 '!$J$16=0),"",IF('딜티켓 '!B16="B",'딜티켓 '!D16,INT('딜티켓 '!D16*'딜티켓 '!H16)))</f>
        <v>0</v>
      </c>
      <c r="G15" s="130" t="str">
        <f>IF(OR('딜티켓 '!$J$16="",'딜티켓 '!$J$16=0),"",IF('딜티켓 '!K16="","",'딜티켓 '!K16))</f>
        <v/>
      </c>
      <c r="H15" s="131"/>
      <c r="I15" s="132" t="str">
        <f ca="1">IF(OR('딜티켓 '!$J$16="",'딜티켓 '!$J$16=0),"",'딜티켓 '!I16)</f>
        <v>HSBC</v>
      </c>
      <c r="J15" s="131"/>
    </row>
    <row r="16" spans="1:10" ht="15.75" customHeight="1">
      <c r="A16" s="127" t="str">
        <f>IF(OR('딜티켓 '!$J$17="",'딜티켓 '!$J$17=0),"",'딜티켓 '!J17)</f>
        <v/>
      </c>
      <c r="B16" s="127" t="str">
        <f>IF(OR('딜티켓 '!$J$17="",'딜티켓 '!$J$17=0),"",IF('딜티켓 '!B17="S",'딜티켓 '!C17,"KRW"))</f>
        <v/>
      </c>
      <c r="C16" s="128" t="str">
        <f>IF(OR('딜티켓 '!$J$17="",'딜티켓 '!$J$17=0),"",IF('딜티켓 '!B17="S",'딜티켓 '!D17,INT('딜티켓 '!D17*'딜티켓 '!H17)))</f>
        <v/>
      </c>
      <c r="D16" s="127" t="str">
        <f>IF(OR('딜티켓 '!$J$17="",'딜티켓 '!$J$17=0),"",'딜티켓 '!H17)</f>
        <v/>
      </c>
      <c r="E16" s="127" t="str">
        <f>IF(OR('딜티켓 '!$J$17="",'딜티켓 '!$J$17=0),"",IF('딜티켓 '!B17="B",'딜티켓 '!C17,"KRW"))</f>
        <v/>
      </c>
      <c r="F16" s="128" t="str">
        <f>IF(OR('딜티켓 '!$J$17="",'딜티켓 '!$J$17=0),"",IF('딜티켓 '!B17="B",'딜티켓 '!D17,INT('딜티켓 '!D17*'딜티켓 '!H17)))</f>
        <v/>
      </c>
      <c r="G16" s="130" t="str">
        <f>IF(OR('딜티켓 '!$J$17="",'딜티켓 '!$J$17=0),"",IF('딜티켓 '!K17="","",'딜티켓 '!K17))</f>
        <v/>
      </c>
      <c r="H16" s="131"/>
      <c r="I16" s="132" t="str">
        <f>IF(OR('딜티켓 '!$J$17="",'딜티켓 '!$J$17=0),"",'딜티켓 '!I17)</f>
        <v/>
      </c>
      <c r="J16" s="131"/>
    </row>
    <row r="17" spans="1:10" ht="15.75" customHeight="1">
      <c r="A17" s="127" t="str">
        <f>IF(OR('딜티켓 '!$J$18="",'딜티켓 '!$J$18=0),"",'딜티켓 '!J18)</f>
        <v/>
      </c>
      <c r="B17" s="127" t="str">
        <f>IF(OR('딜티켓 '!$J$18="",'딜티켓 '!$J$18=0),"",IF('딜티켓 '!B18="S",'딜티켓 '!C18,"KRW"))</f>
        <v/>
      </c>
      <c r="C17" s="128" t="str">
        <f>IF(OR('딜티켓 '!$J$18="",'딜티켓 '!$J$18=0),"",IF('딜티켓 '!B18="S",'딜티켓 '!D18,INT('딜티켓 '!D18*'딜티켓 '!H18)))</f>
        <v/>
      </c>
      <c r="D17" s="127" t="str">
        <f>IF(OR('딜티켓 '!$J$18="",'딜티켓 '!$J$18=0),"",'딜티켓 '!H18)</f>
        <v/>
      </c>
      <c r="E17" s="127" t="str">
        <f>IF(OR('딜티켓 '!$J$18="",'딜티켓 '!$J$18=0),"",IF('딜티켓 '!B18="B",'딜티켓 '!C18,"KRW"))</f>
        <v/>
      </c>
      <c r="F17" s="128" t="str">
        <f>IF(OR('딜티켓 '!$J$18="",'딜티켓 '!$J$18=0),"",IF('딜티켓 '!B18="B",'딜티켓 '!D18,INT('딜티켓 '!D18*'딜티켓 '!H18)))</f>
        <v/>
      </c>
      <c r="G17" s="130" t="str">
        <f>IF(OR('딜티켓 '!$J$18="",'딜티켓 '!$J$18=0),"",IF('딜티켓 '!K18="","",'딜티켓 '!K18))</f>
        <v/>
      </c>
      <c r="H17" s="131"/>
      <c r="I17" s="132" t="str">
        <f>IF(OR('딜티켓 '!$J$18="",'딜티켓 '!$J$18=0),"",'딜티켓 '!I18)</f>
        <v/>
      </c>
      <c r="J17" s="131"/>
    </row>
    <row r="18" spans="1:10" ht="15.75" customHeight="1">
      <c r="A18" s="127" t="str">
        <f>IF(OR('딜티켓 '!$J$19="",'딜티켓 '!$J$19=0),"",'딜티켓 '!J19)</f>
        <v/>
      </c>
      <c r="B18" s="127" t="str">
        <f>IF(OR('딜티켓 '!$J$19="",'딜티켓 '!$J$19=0),"",IF('딜티켓 '!B19="S",'딜티켓 '!C19,"KRW"))</f>
        <v/>
      </c>
      <c r="C18" s="128" t="str">
        <f>IF(OR('딜티켓 '!$J$19="",'딜티켓 '!$J$19=0),"",IF('딜티켓 '!B19="S",'딜티켓 '!D19,INT('딜티켓 '!D19*'딜티켓 '!H19)))</f>
        <v/>
      </c>
      <c r="D18" s="127" t="str">
        <f>IF(OR('딜티켓 '!$J$19="",'딜티켓 '!$J$19=0),"",'딜티켓 '!H19)</f>
        <v/>
      </c>
      <c r="E18" s="127" t="str">
        <f>IF(OR('딜티켓 '!$J$19="",'딜티켓 '!$J$19=0),"",IF('딜티켓 '!B19="B",'딜티켓 '!C19,"KRW"))</f>
        <v/>
      </c>
      <c r="F18" s="128" t="str">
        <f>IF(OR('딜티켓 '!$J$19="",'딜티켓 '!$J$19=0),"",IF('딜티켓 '!B19="B",'딜티켓 '!D19,INT('딜티켓 '!D19*'딜티켓 '!H19)))</f>
        <v/>
      </c>
      <c r="G18" s="130" t="str">
        <f>IF(OR('딜티켓 '!$J$19="",'딜티켓 '!$J$19=0),"",IF('딜티켓 '!K19="","",'딜티켓 '!K19))</f>
        <v/>
      </c>
      <c r="H18" s="131"/>
      <c r="I18" s="132" t="str">
        <f>IF(OR('딜티켓 '!$J$19="",'딜티켓 '!$J$19=0),"",'딜티켓 '!I19)</f>
        <v/>
      </c>
      <c r="J18" s="131"/>
    </row>
    <row r="19" spans="1:10" ht="15.75" customHeight="1">
      <c r="A19" s="127" t="str">
        <f>IF(OR('딜티켓 '!$J$20="",'딜티켓 '!$J$20=0),"",'딜티켓 '!J20)</f>
        <v/>
      </c>
      <c r="B19" s="127" t="str">
        <f>IF(OR('딜티켓 '!$J$20="",'딜티켓 '!$J$20=0),"",IF('딜티켓 '!B20="S",'딜티켓 '!C20,"KRW"))</f>
        <v/>
      </c>
      <c r="C19" s="128" t="str">
        <f>IF(OR('딜티켓 '!$J$20="",'딜티켓 '!$J$20=0),"",IF('딜티켓 '!B20="S",'딜티켓 '!D20,INT('딜티켓 '!D20*'딜티켓 '!H20)))</f>
        <v/>
      </c>
      <c r="D19" s="127" t="str">
        <f>IF(OR('딜티켓 '!$J$20="",'딜티켓 '!$J$20=0),"",'딜티켓 '!H20)</f>
        <v/>
      </c>
      <c r="E19" s="127" t="str">
        <f>IF(OR('딜티켓 '!$J$20="",'딜티켓 '!$J$20=0),"",IF('딜티켓 '!B20="B",'딜티켓 '!C20,"KRW"))</f>
        <v/>
      </c>
      <c r="F19" s="128" t="str">
        <f>IF(OR('딜티켓 '!$J$20="",'딜티켓 '!$J$20=0),"",IF('딜티켓 '!B20="B",'딜티켓 '!D20,INT('딜티켓 '!D20*'딜티켓 '!H20)))</f>
        <v/>
      </c>
      <c r="G19" s="130" t="str">
        <f>IF(OR('딜티켓 '!$J$20="",'딜티켓 '!$J$20=0),"",IF('딜티켓 '!K20="","",'딜티켓 '!K20))</f>
        <v/>
      </c>
      <c r="H19" s="131"/>
      <c r="I19" s="132" t="str">
        <f>IF(OR('딜티켓 '!$J$20="",'딜티켓 '!$J$20=0),"",'딜티켓 '!I20)</f>
        <v/>
      </c>
      <c r="J19" s="131"/>
    </row>
    <row r="20" spans="1:10" ht="15.75" customHeight="1">
      <c r="A20" s="127" t="str">
        <f>IF(OR('딜티켓 '!$J$21="",'딜티켓 '!$J$21=0),"",'딜티켓 '!J21)</f>
        <v/>
      </c>
      <c r="B20" s="127" t="str">
        <f>IF(OR('딜티켓 '!$J$21="",'딜티켓 '!$J$21=0),"",IF('딜티켓 '!B21="S",'딜티켓 '!C21,"KRW"))</f>
        <v/>
      </c>
      <c r="C20" s="128" t="str">
        <f>IF(OR('딜티켓 '!$J$21="",'딜티켓 '!$J$21=0),"",IF('딜티켓 '!B21="S",'딜티켓 '!D21,INT('딜티켓 '!D21*'딜티켓 '!H21)))</f>
        <v/>
      </c>
      <c r="D20" s="127" t="str">
        <f>IF(OR('딜티켓 '!$J$21="",'딜티켓 '!$J$21=0),"",'딜티켓 '!H21)</f>
        <v/>
      </c>
      <c r="E20" s="127" t="str">
        <f>IF(OR('딜티켓 '!$J$21="",'딜티켓 '!$J$21=0),"",IF('딜티켓 '!B21="B",'딜티켓 '!C21,"KRW"))</f>
        <v/>
      </c>
      <c r="F20" s="128" t="str">
        <f>IF(OR('딜티켓 '!$J$21="",'딜티켓 '!$J$21=0),"",IF('딜티켓 '!B21="B",'딜티켓 '!D21,INT('딜티켓 '!D21*'딜티켓 '!H21)))</f>
        <v/>
      </c>
      <c r="G20" s="130" t="str">
        <f>IF(OR('딜티켓 '!$J$21="",'딜티켓 '!$J$21=0),"",IF('딜티켓 '!K21="","",'딜티켓 '!K21))</f>
        <v/>
      </c>
      <c r="H20" s="131"/>
      <c r="I20" s="132" t="str">
        <f>IF(OR('딜티켓 '!$J$21="",'딜티켓 '!$J$21=0),"",'딜티켓 '!I21)</f>
        <v/>
      </c>
      <c r="J20" s="131"/>
    </row>
    <row r="21" spans="1:10" ht="15.75" customHeight="1">
      <c r="A21" s="127" t="str">
        <f>IF(OR('딜티켓 '!$J$22="",'딜티켓 '!$J$22=0),"",'딜티켓 '!J22)</f>
        <v/>
      </c>
      <c r="B21" s="127" t="str">
        <f>IF(OR('딜티켓 '!$J$22="",'딜티켓 '!$J$22=0),"",IF('딜티켓 '!B22="S",'딜티켓 '!C22,"KRW"))</f>
        <v/>
      </c>
      <c r="C21" s="128" t="str">
        <f>IF(OR('딜티켓 '!$J$22="",'딜티켓 '!$J$22=0),"",IF('딜티켓 '!B22="S",'딜티켓 '!D22,INT('딜티켓 '!D22*'딜티켓 '!H22)))</f>
        <v/>
      </c>
      <c r="D21" s="127" t="str">
        <f>IF(OR('딜티켓 '!$J$22="",'딜티켓 '!$J$22=0),"",'딜티켓 '!H22)</f>
        <v/>
      </c>
      <c r="E21" s="127" t="str">
        <f>IF(OR('딜티켓 '!$J$22="",'딜티켓 '!$J$22=0),"",IF('딜티켓 '!B22="B",'딜티켓 '!C22,"KRW"))</f>
        <v/>
      </c>
      <c r="F21" s="128" t="str">
        <f>IF(OR('딜티켓 '!$J$22="",'딜티켓 '!$J$22=0),"",IF('딜티켓 '!B22="B",'딜티켓 '!D22,INT('딜티켓 '!D22*'딜티켓 '!H22)))</f>
        <v/>
      </c>
      <c r="G21" s="130" t="str">
        <f>IF(OR('딜티켓 '!$J$22="",'딜티켓 '!$J$22=0),"",IF('딜티켓 '!K22="","",'딜티켓 '!K22))</f>
        <v/>
      </c>
      <c r="H21" s="131"/>
      <c r="I21" s="132" t="str">
        <f>IF(OR('딜티켓 '!$J$22="",'딜티켓 '!$J$22=0),"",'딜티켓 '!I22)</f>
        <v/>
      </c>
      <c r="J21" s="131"/>
    </row>
    <row r="22" spans="1:10" ht="15.75" customHeight="1">
      <c r="A22" s="127" t="str">
        <f>IF(OR('딜티켓 '!$J$23="",'딜티켓 '!$J$23=0),"",'딜티켓 '!J23)</f>
        <v/>
      </c>
      <c r="B22" s="127" t="str">
        <f>IF(OR('딜티켓 '!$J$23="",'딜티켓 '!$J$23=0),"",IF('딜티켓 '!B23="S",'딜티켓 '!C23,"KRW"))</f>
        <v/>
      </c>
      <c r="C22" s="128" t="str">
        <f>IF(OR('딜티켓 '!$J$23="",'딜티켓 '!$J$23=0),"",IF('딜티켓 '!B23="S",'딜티켓 '!D23,INT('딜티켓 '!D23*'딜티켓 '!H23)))</f>
        <v/>
      </c>
      <c r="D22" s="127" t="str">
        <f>IF(OR('딜티켓 '!$J$23="",'딜티켓 '!$J$23=0),"",'딜티켓 '!H23)</f>
        <v/>
      </c>
      <c r="E22" s="127" t="str">
        <f>IF(OR('딜티켓 '!$J$23="",'딜티켓 '!$J$23=0),"",IF('딜티켓 '!B23="B",'딜티켓 '!C23,"KRW"))</f>
        <v/>
      </c>
      <c r="F22" s="128" t="str">
        <f>IF(OR('딜티켓 '!$J$23="",'딜티켓 '!$J$23=0),"",IF('딜티켓 '!B23="B",'딜티켓 '!D23,INT('딜티켓 '!D23*'딜티켓 '!H23)))</f>
        <v/>
      </c>
      <c r="G22" s="130" t="str">
        <f>IF(OR('딜티켓 '!$J$23="",'딜티켓 '!$J$23=0),"",IF('딜티켓 '!K23="","",'딜티켓 '!K23))</f>
        <v/>
      </c>
      <c r="H22" s="131"/>
      <c r="I22" s="132" t="str">
        <f>IF(OR('딜티켓 '!$J$23="",'딜티켓 '!$J$23=0),"",'딜티켓 '!I23)</f>
        <v/>
      </c>
      <c r="J22" s="131"/>
    </row>
    <row r="23" spans="1:10" ht="15.75" customHeight="1">
      <c r="A23" s="127" t="str">
        <f>IF(OR('딜티켓 '!$J$24="",'딜티켓 '!$J$24=0),"",'딜티켓 '!J24)</f>
        <v/>
      </c>
      <c r="B23" s="127" t="str">
        <f>IF(OR('딜티켓 '!$J$24="",'딜티켓 '!$J$24=0),"",IF('딜티켓 '!B24="S",'딜티켓 '!C24,"KRW"))</f>
        <v/>
      </c>
      <c r="C23" s="128" t="str">
        <f>IF(OR('딜티켓 '!$J$24="",'딜티켓 '!$J$24=0),"",IF('딜티켓 '!B24="S",'딜티켓 '!D24,INT('딜티켓 '!D24*'딜티켓 '!H24)))</f>
        <v/>
      </c>
      <c r="D23" s="127" t="str">
        <f>IF(OR('딜티켓 '!$J$24="",'딜티켓 '!$J$24=0),"",'딜티켓 '!H24)</f>
        <v/>
      </c>
      <c r="E23" s="127" t="str">
        <f>IF(OR('딜티켓 '!$J$24="",'딜티켓 '!$J$24=0),"",IF('딜티켓 '!B24="B",'딜티켓 '!C24,"KRW"))</f>
        <v/>
      </c>
      <c r="F23" s="128" t="str">
        <f>IF(OR('딜티켓 '!$J$24="",'딜티켓 '!$J$24=0),"",IF('딜티켓 '!B24="B",'딜티켓 '!D24,INT('딜티켓 '!D24*'딜티켓 '!H24)))</f>
        <v/>
      </c>
      <c r="G23" s="130" t="str">
        <f>IF(OR('딜티켓 '!$J$24="",'딜티켓 '!$J$24=0),"",IF('딜티켓 '!K24="","",'딜티켓 '!K24))</f>
        <v/>
      </c>
      <c r="H23" s="131"/>
      <c r="I23" s="132" t="str">
        <f>IF(OR('딜티켓 '!$J$24="",'딜티켓 '!$J$24=0),"",'딜티켓 '!I24)</f>
        <v/>
      </c>
      <c r="J23" s="131"/>
    </row>
    <row r="24" spans="1:10" ht="15.75" customHeight="1">
      <c r="A24" s="127" t="str">
        <f>IF(OR('딜티켓 '!$J$25="",'딜티켓 '!$J$25=0),"",'딜티켓 '!J25)</f>
        <v/>
      </c>
      <c r="B24" s="127" t="str">
        <f>IF(OR('딜티켓 '!$J$25="",'딜티켓 '!$J$25=0),"",IF('딜티켓 '!B25="S",'딜티켓 '!C25,"KRW"))</f>
        <v/>
      </c>
      <c r="C24" s="128" t="str">
        <f>IF(OR('딜티켓 '!$J$25="",'딜티켓 '!$J$25=0),"",IF('딜티켓 '!B25="S",'딜티켓 '!D25,INT('딜티켓 '!D25*'딜티켓 '!H25)))</f>
        <v/>
      </c>
      <c r="D24" s="127" t="str">
        <f>IF(OR('딜티켓 '!$J$25="",'딜티켓 '!$J$25=0),"",'딜티켓 '!H25)</f>
        <v/>
      </c>
      <c r="E24" s="127" t="str">
        <f>IF(OR('딜티켓 '!$J$25="",'딜티켓 '!$J$25=0),"",IF('딜티켓 '!B25="B",'딜티켓 '!C25,"KRW"))</f>
        <v/>
      </c>
      <c r="F24" s="128" t="str">
        <f>IF(OR('딜티켓 '!$J$25="",'딜티켓 '!$J$25=0),"",IF('딜티켓 '!B25="B",'딜티켓 '!D25,INT('딜티켓 '!D25*'딜티켓 '!H25)))</f>
        <v/>
      </c>
      <c r="G24" s="130" t="str">
        <f>IF(OR('딜티켓 '!$J$25="",'딜티켓 '!$J$25=0),"",IF('딜티켓 '!K25="","",'딜티켓 '!K25))</f>
        <v/>
      </c>
      <c r="H24" s="131"/>
      <c r="I24" s="132" t="str">
        <f>IF(OR('딜티켓 '!$J$25="",'딜티켓 '!$J$25=0),"",'딜티켓 '!I25)</f>
        <v/>
      </c>
      <c r="J24" s="131"/>
    </row>
    <row r="27" spans="1:10" ht="15.75" customHeight="1">
      <c r="A27" s="123" t="str">
        <f>$B$5</f>
        <v>우리자산운용</v>
      </c>
      <c r="E27" s="133" t="s">
        <v>32</v>
      </c>
    </row>
    <row r="30" spans="1:10" ht="13.5" customHeight="1">
      <c r="A30" s="134"/>
      <c r="B30" s="134"/>
      <c r="E30" s="134"/>
      <c r="F30" s="134"/>
    </row>
    <row r="31" spans="1:10" ht="15.75" customHeight="1">
      <c r="A31" s="133" t="s">
        <v>51</v>
      </c>
      <c r="E31" s="133" t="s">
        <v>51</v>
      </c>
    </row>
    <row r="33" spans="1:1" ht="15" customHeight="1">
      <c r="A33" s="135" t="s">
        <v>52</v>
      </c>
    </row>
    <row r="34" spans="1:1" ht="15" customHeight="1">
      <c r="A34" s="135" t="s">
        <v>53</v>
      </c>
    </row>
    <row r="35" spans="1:1" ht="15" customHeight="1">
      <c r="A35" s="135" t="s">
        <v>54</v>
      </c>
    </row>
    <row r="38" spans="1:1" ht="13.5" customHeight="1">
      <c r="A38" s="136" t="s">
        <v>55</v>
      </c>
    </row>
    <row r="39" spans="1:1" ht="15" customHeight="1">
      <c r="A39" s="137" t="s">
        <v>56</v>
      </c>
    </row>
    <row r="40" spans="1:1" ht="15" customHeight="1">
      <c r="A40" s="137" t="s">
        <v>57</v>
      </c>
    </row>
    <row r="41" spans="1:1" ht="15" customHeight="1">
      <c r="A41" s="138" t="s">
        <v>58</v>
      </c>
    </row>
  </sheetData>
  <mergeCells count="10">
    <mergeCell ref="C1:H1"/>
    <mergeCell ref="I2:J2"/>
    <mergeCell ref="A11:A12"/>
    <mergeCell ref="B11:C11"/>
    <mergeCell ref="D11:D12"/>
    <mergeCell ref="E11:F11"/>
    <mergeCell ref="G11:G12"/>
    <mergeCell ref="H11:H12"/>
    <mergeCell ref="I11:I12"/>
    <mergeCell ref="J11:J12"/>
  </mergeCells>
  <phoneticPr fontId="9" type="noConversion"/>
  <conditionalFormatting sqref="A13:J24">
    <cfRule type="expression" dxfId="0" priority="2">
      <formula>$A13&lt;&gt;""</formula>
    </cfRule>
  </conditionalFormatting>
  <pageMargins left="0.75" right="0.75" top="1" bottom="1" header="0.511811023622047" footer="0.511811023622047"/>
  <pageSetup orientation="landscape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FF00"/>
    <pageSetUpPr fitToPage="1"/>
  </sheetPr>
  <dimension ref="A2:IW65536"/>
  <sheetViews>
    <sheetView showGridLines="0" zoomScaleNormal="100" workbookViewId="0">
      <selection activeCell="C5" sqref="C5"/>
    </sheetView>
  </sheetViews>
  <sheetFormatPr defaultColWidth="8.9140625" defaultRowHeight="15.5"/>
  <cols>
    <col min="1" max="1" width="9.58203125" style="139" customWidth="1"/>
    <col min="2" max="2" width="7" style="139" customWidth="1"/>
    <col min="3" max="3" width="15.75" style="139" customWidth="1"/>
    <col min="4" max="4" width="7.58203125" style="139" customWidth="1"/>
    <col min="5" max="5" width="6.25" style="139" customWidth="1"/>
    <col min="6" max="6" width="15.75" style="139" customWidth="1"/>
    <col min="7" max="7" width="10" style="139" customWidth="1"/>
    <col min="8" max="8" width="8.9140625" style="139"/>
    <col min="9" max="9" width="8.1640625" style="139" customWidth="1"/>
    <col min="10" max="11" width="8.9140625" style="139"/>
    <col min="12" max="12" width="9.08203125" style="139" customWidth="1"/>
    <col min="13" max="257" width="8.9140625" style="139"/>
  </cols>
  <sheetData>
    <row r="2" spans="1:10" ht="20.25" customHeight="1">
      <c r="A2" s="354" t="s">
        <v>33</v>
      </c>
      <c r="B2" s="354"/>
      <c r="C2" s="354"/>
      <c r="D2" s="354"/>
      <c r="E2" s="354"/>
      <c r="F2" s="354"/>
      <c r="G2" s="354"/>
      <c r="H2" s="354"/>
      <c r="I2" s="140"/>
    </row>
    <row r="3" spans="1:10" ht="15.75" customHeight="1">
      <c r="A3" s="141"/>
      <c r="I3" s="142"/>
    </row>
    <row r="4" spans="1:10" ht="16.5" customHeight="1">
      <c r="A4" s="143" t="s">
        <v>34</v>
      </c>
      <c r="B4" s="144"/>
      <c r="C4" s="144" t="s">
        <v>32</v>
      </c>
      <c r="D4" s="145"/>
      <c r="E4" s="145"/>
      <c r="F4" s="145"/>
      <c r="G4" s="145"/>
      <c r="H4" s="145"/>
      <c r="I4" s="146"/>
    </row>
    <row r="5" spans="1:10" ht="16.5" customHeight="1">
      <c r="A5" s="147" t="s">
        <v>35</v>
      </c>
      <c r="B5" s="148"/>
      <c r="C5" s="149" t="e">
        <f>TRIM(SUBSTITUTE('딜티켓 '!C9,MID('딜티켓 '!C9,FIND("(",'딜티켓 '!C9),FIND(")",'딜티켓 '!C9)-FIND("(",'딜티켓 '!C9)+1),""))&amp;"자산운용"</f>
        <v>#VALUE!</v>
      </c>
      <c r="I5" s="150"/>
    </row>
    <row r="6" spans="1:10" ht="16.5" customHeight="1">
      <c r="A6" s="147" t="s">
        <v>36</v>
      </c>
      <c r="B6" s="148"/>
      <c r="C6" s="148" t="s">
        <v>32</v>
      </c>
      <c r="I6" s="150"/>
    </row>
    <row r="7" spans="1:10" ht="16.5" customHeight="1">
      <c r="A7" s="147" t="s">
        <v>39</v>
      </c>
      <c r="B7" s="148"/>
      <c r="C7" s="148" t="s">
        <v>59</v>
      </c>
      <c r="I7" s="150"/>
    </row>
    <row r="8" spans="1:10" ht="16.5" customHeight="1">
      <c r="A8" s="151" t="s">
        <v>41</v>
      </c>
      <c r="B8" s="152"/>
      <c r="C8" s="153" t="s">
        <v>42</v>
      </c>
      <c r="D8" s="154"/>
      <c r="E8" s="154"/>
      <c r="F8" s="154"/>
      <c r="G8" s="154"/>
      <c r="H8" s="154"/>
      <c r="I8" s="155"/>
    </row>
    <row r="9" spans="1:10" ht="16.5" customHeight="1">
      <c r="A9" s="156"/>
      <c r="B9" s="156"/>
      <c r="C9" s="156"/>
      <c r="D9" s="156"/>
      <c r="E9" s="156"/>
      <c r="F9" s="157"/>
      <c r="H9" s="158" t="s">
        <v>60</v>
      </c>
      <c r="I9" s="159">
        <f ca="1">TODAY()</f>
        <v>46221</v>
      </c>
    </row>
    <row r="10" spans="1:10" ht="15.75" customHeight="1">
      <c r="A10" s="353" t="s">
        <v>43</v>
      </c>
      <c r="B10" s="355" t="e">
        <f>C5&amp;"매수"</f>
        <v>#VALUE!</v>
      </c>
      <c r="C10" s="355"/>
      <c r="D10" s="353" t="s">
        <v>44</v>
      </c>
      <c r="E10" s="356" t="e">
        <f>C5&amp;"매도"</f>
        <v>#VALUE!</v>
      </c>
      <c r="F10" s="356"/>
      <c r="G10" s="353" t="s">
        <v>45</v>
      </c>
      <c r="H10" s="353" t="s">
        <v>46</v>
      </c>
      <c r="I10" s="353" t="s">
        <v>47</v>
      </c>
    </row>
    <row r="11" spans="1:10" ht="15.75" customHeight="1">
      <c r="A11" s="353"/>
      <c r="B11" s="160" t="s">
        <v>49</v>
      </c>
      <c r="C11" s="160" t="s">
        <v>50</v>
      </c>
      <c r="D11" s="353"/>
      <c r="E11" s="1" t="s">
        <v>49</v>
      </c>
      <c r="F11" s="161" t="s">
        <v>50</v>
      </c>
      <c r="G11" s="353"/>
      <c r="H11" s="353"/>
      <c r="I11" s="353"/>
    </row>
    <row r="12" spans="1:10" ht="17.25" customHeight="1">
      <c r="A12" s="162">
        <f>IF('컨펌1-A'!$A11=0,"",'컨펌1-A'!A11)</f>
        <v>1850</v>
      </c>
      <c r="B12" s="163" t="str">
        <f>IF('컨펌1-A'!$A11=0,"",'컨펌1-A'!B11)</f>
        <v>KRW</v>
      </c>
      <c r="C12" s="164">
        <f>IF('컨펌1-A'!$A11=0,"",'컨펌1-A'!C11)</f>
        <v>150000000</v>
      </c>
      <c r="D12" s="165">
        <f>IF('컨펌1-A'!$A11=0,"",'컨펌1-A'!D11)</f>
        <v>1500</v>
      </c>
      <c r="E12" s="162" t="str">
        <f>IF('컨펌1-A'!$A11=0,"",'컨펌1-A'!E11)</f>
        <v>USD</v>
      </c>
      <c r="F12" s="164">
        <f>IF('컨펌1-A'!$A11=0,"",'컨펌1-A'!F11)</f>
        <v>100000</v>
      </c>
      <c r="G12" s="166">
        <f>IF('컨펌1-A'!$A11=0,"",'컨펌1-A'!G11)</f>
        <v>46280</v>
      </c>
      <c r="H12" s="167" t="s">
        <v>61</v>
      </c>
      <c r="I12" s="168" t="str">
        <f ca="1">'컨펌1-A'!I11</f>
        <v>KSFC</v>
      </c>
      <c r="J12" s="139" t="s">
        <v>62</v>
      </c>
    </row>
    <row r="13" spans="1:10" ht="17.25" customHeight="1">
      <c r="A13" s="169">
        <f>IF('컨펌1-A'!$A12=0,"",'컨펌1-A'!A12)</f>
        <v>1849</v>
      </c>
      <c r="B13" s="170" t="str">
        <f>IF('컨펌1-A'!$A12=0,"",'컨펌1-A'!B12)</f>
        <v>USD</v>
      </c>
      <c r="C13" s="171">
        <f>IF('컨펌1-A'!$A12=0,"",'컨펌1-A'!C12)</f>
        <v>150000</v>
      </c>
      <c r="D13" s="172">
        <f>IF('컨펌1-A'!$A12=0,"",'컨펌1-A'!D12)</f>
        <v>1500</v>
      </c>
      <c r="E13" s="169" t="str">
        <f>IF('컨펌1-A'!$A12=0,"",'컨펌1-A'!E12)</f>
        <v>KRW</v>
      </c>
      <c r="F13" s="171">
        <f>IF('컨펌1-A'!$A12=0,"",'컨펌1-A'!F12)</f>
        <v>225000000</v>
      </c>
      <c r="G13" s="173">
        <f>IF('컨펌1-A'!$A12=0,"",'컨펌1-A'!G12)</f>
        <v>46280</v>
      </c>
      <c r="H13" s="168"/>
      <c r="I13" s="168" t="str">
        <f ca="1">'컨펌1-A'!I12</f>
        <v>KB</v>
      </c>
      <c r="J13" s="168" t="s">
        <v>40</v>
      </c>
    </row>
    <row r="14" spans="1:10" ht="17.25" customHeight="1">
      <c r="A14" s="169" t="str">
        <f>IF('컨펌1-A'!$A13=0,"",'컨펌1-A'!A13)</f>
        <v>FB20</v>
      </c>
      <c r="B14" s="170" t="str">
        <f>IF('컨펌1-A'!$A13=0,"",'컨펌1-A'!B13)</f>
        <v>KRW</v>
      </c>
      <c r="C14" s="171">
        <f>IF('컨펌1-A'!$A13=0,"",'컨펌1-A'!C13)</f>
        <v>0</v>
      </c>
      <c r="D14" s="172">
        <f>IF('컨펌1-A'!$A13=0,"",'컨펌1-A'!D13)</f>
        <v>0</v>
      </c>
      <c r="E14" s="169" t="str">
        <f>IF('컨펌1-A'!$A13=0,"",'컨펌1-A'!E13)</f>
        <v>KRW</v>
      </c>
      <c r="F14" s="171">
        <f>IF('컨펌1-A'!$A13=0,"",'컨펌1-A'!F13)</f>
        <v>0</v>
      </c>
      <c r="G14" s="173">
        <f>IF('컨펌1-A'!$A13=0,"",'컨펌1-A'!G13)</f>
        <v>0</v>
      </c>
      <c r="H14" s="168"/>
      <c r="I14" s="168" t="str">
        <f ca="1">'컨펌1-A'!I13</f>
        <v>HSBC</v>
      </c>
      <c r="J14" s="168" t="s">
        <v>61</v>
      </c>
    </row>
    <row r="15" spans="1:10" ht="17.25" customHeight="1">
      <c r="A15" s="169" t="str">
        <f>IF('컨펌1-A'!$A14=0,"",'컨펌1-A'!A14)</f>
        <v/>
      </c>
      <c r="B15" s="170" t="str">
        <f>IF('컨펌1-A'!$A14=0,"",'컨펌1-A'!B14)</f>
        <v/>
      </c>
      <c r="C15" s="171" t="str">
        <f>IF('컨펌1-A'!$A14=0,"",'컨펌1-A'!C14)</f>
        <v/>
      </c>
      <c r="D15" s="172" t="str">
        <f>IF('컨펌1-A'!$A14=0,"",'컨펌1-A'!D14)</f>
        <v/>
      </c>
      <c r="E15" s="169" t="str">
        <f>IF('컨펌1-A'!$A14=0,"",'컨펌1-A'!E14)</f>
        <v/>
      </c>
      <c r="F15" s="171" t="str">
        <f>IF('컨펌1-A'!$A14=0,"",'컨펌1-A'!F14)</f>
        <v/>
      </c>
      <c r="G15" s="173" t="str">
        <f>IF('컨펌1-A'!$A14=0,"",'컨펌1-A'!G14)</f>
        <v/>
      </c>
      <c r="H15" s="168"/>
      <c r="I15" s="169" t="str">
        <f ca="1">'컨펌1-A'!I14</f>
        <v/>
      </c>
      <c r="J15" s="168" t="s">
        <v>63</v>
      </c>
    </row>
    <row r="16" spans="1:10" ht="17.25" customHeight="1">
      <c r="A16" s="169" t="str">
        <f>IF('컨펌1-A'!$A15=0,"",'컨펌1-A'!A15)</f>
        <v/>
      </c>
      <c r="B16" s="170" t="str">
        <f>IF('컨펌1-A'!$A15=0,"",'컨펌1-A'!B15)</f>
        <v/>
      </c>
      <c r="C16" s="171" t="str">
        <f>IF('컨펌1-A'!$A15=0,"",'컨펌1-A'!C15)</f>
        <v/>
      </c>
      <c r="D16" s="172" t="str">
        <f>IF('컨펌1-A'!$A15=0,"",'컨펌1-A'!D15)</f>
        <v/>
      </c>
      <c r="E16" s="169" t="str">
        <f>IF('컨펌1-A'!$A15=0,"",'컨펌1-A'!E15)</f>
        <v/>
      </c>
      <c r="F16" s="171" t="str">
        <f>IF('컨펌1-A'!$A15=0,"",'컨펌1-A'!F15)</f>
        <v/>
      </c>
      <c r="G16" s="173" t="str">
        <f>IF('컨펌1-A'!$A15=0,"",'컨펌1-A'!G15)</f>
        <v/>
      </c>
      <c r="H16" s="168"/>
      <c r="I16" s="169" t="str">
        <f ca="1">'컨펌1-A'!I15</f>
        <v/>
      </c>
    </row>
    <row r="17" spans="1:9" ht="17.25" customHeight="1">
      <c r="A17" s="169" t="str">
        <f>IF('컨펌1-A'!$A16=0,"",'컨펌1-A'!A16)</f>
        <v/>
      </c>
      <c r="B17" s="170" t="str">
        <f>IF('컨펌1-A'!$A16=0,"",'컨펌1-A'!B16)</f>
        <v/>
      </c>
      <c r="C17" s="171" t="str">
        <f>IF('컨펌1-A'!$A16=0,"",'컨펌1-A'!C16)</f>
        <v/>
      </c>
      <c r="D17" s="172" t="str">
        <f>IF('컨펌1-A'!$A16=0,"",'컨펌1-A'!D16)</f>
        <v/>
      </c>
      <c r="E17" s="169" t="str">
        <f>IF('컨펌1-A'!$A16=0,"",'컨펌1-A'!E16)</f>
        <v/>
      </c>
      <c r="F17" s="171" t="str">
        <f>IF('컨펌1-A'!$A16=0,"",'컨펌1-A'!F16)</f>
        <v/>
      </c>
      <c r="G17" s="173" t="str">
        <f>IF('컨펌1-A'!$A16=0,"",'컨펌1-A'!G16)</f>
        <v/>
      </c>
      <c r="H17" s="169"/>
      <c r="I17" s="169" t="str">
        <f ca="1">'컨펌1-A'!I16</f>
        <v/>
      </c>
    </row>
    <row r="18" spans="1:9" ht="17.25" customHeight="1">
      <c r="A18" s="169" t="str">
        <f>IF('컨펌1-A'!$A17=0,"",'컨펌1-A'!A17)</f>
        <v/>
      </c>
      <c r="B18" s="170" t="str">
        <f>IF('컨펌1-A'!$A17=0,"",'컨펌1-A'!B17)</f>
        <v/>
      </c>
      <c r="C18" s="171" t="str">
        <f>IF('컨펌1-A'!$A17=0,"",'컨펌1-A'!C17)</f>
        <v/>
      </c>
      <c r="D18" s="172" t="str">
        <f>IF('컨펌1-A'!$A17=0,"",'컨펌1-A'!D17)</f>
        <v/>
      </c>
      <c r="E18" s="169" t="str">
        <f>IF('컨펌1-A'!$A17=0,"",'컨펌1-A'!E17)</f>
        <v/>
      </c>
      <c r="F18" s="171" t="str">
        <f>IF('컨펌1-A'!$A17=0,"",'컨펌1-A'!F17)</f>
        <v/>
      </c>
      <c r="G18" s="173" t="str">
        <f>IF('컨펌1-A'!$A17=0,"",'컨펌1-A'!G17)</f>
        <v/>
      </c>
      <c r="H18" s="169"/>
      <c r="I18" s="169" t="str">
        <f ca="1">'컨펌1-A'!I17</f>
        <v/>
      </c>
    </row>
    <row r="19" spans="1:9" ht="17.25" customHeight="1">
      <c r="A19" s="169" t="str">
        <f>IF('컨펌1-A'!$A18=0,"",'컨펌1-A'!A18)</f>
        <v/>
      </c>
      <c r="B19" s="170" t="str">
        <f>IF('컨펌1-A'!$A18=0,"",'컨펌1-A'!B18)</f>
        <v/>
      </c>
      <c r="C19" s="171" t="str">
        <f>IF('컨펌1-A'!$A18=0,"",'컨펌1-A'!C18)</f>
        <v/>
      </c>
      <c r="D19" s="172" t="str">
        <f>IF('컨펌1-A'!$A18=0,"",'컨펌1-A'!D18)</f>
        <v/>
      </c>
      <c r="E19" s="169" t="str">
        <f>IF('컨펌1-A'!$A18=0,"",'컨펌1-A'!E18)</f>
        <v/>
      </c>
      <c r="F19" s="171" t="str">
        <f>IF('컨펌1-A'!$A18=0,"",'컨펌1-A'!F18)</f>
        <v/>
      </c>
      <c r="G19" s="173" t="str">
        <f>IF('컨펌1-A'!$A18=0,"",'컨펌1-A'!G18)</f>
        <v/>
      </c>
      <c r="H19" s="169"/>
      <c r="I19" s="169" t="str">
        <f ca="1">'컨펌1-A'!I18</f>
        <v/>
      </c>
    </row>
    <row r="20" spans="1:9" ht="17.25" customHeight="1">
      <c r="A20" s="169" t="str">
        <f>IF('컨펌1-A'!$A19=0,"",'컨펌1-A'!A19)</f>
        <v/>
      </c>
      <c r="B20" s="170" t="str">
        <f>IF('컨펌1-A'!$A19=0,"",'컨펌1-A'!B19)</f>
        <v/>
      </c>
      <c r="C20" s="171" t="str">
        <f>IF('컨펌1-A'!$A19=0,"",'컨펌1-A'!C19)</f>
        <v/>
      </c>
      <c r="D20" s="172" t="str">
        <f>IF('컨펌1-A'!$A19=0,"",'컨펌1-A'!D19)</f>
        <v/>
      </c>
      <c r="E20" s="169" t="str">
        <f>IF('컨펌1-A'!$A19=0,"",'컨펌1-A'!E19)</f>
        <v/>
      </c>
      <c r="F20" s="171" t="str">
        <f>IF('컨펌1-A'!$A19=0,"",'컨펌1-A'!F19)</f>
        <v/>
      </c>
      <c r="G20" s="173" t="str">
        <f>IF('컨펌1-A'!$A19=0,"",'컨펌1-A'!G19)</f>
        <v/>
      </c>
      <c r="H20" s="169"/>
      <c r="I20" s="169" t="str">
        <f ca="1">'컨펌1-A'!I19</f>
        <v/>
      </c>
    </row>
    <row r="21" spans="1:9" ht="17.25" customHeight="1">
      <c r="A21" s="169" t="str">
        <f>IF('컨펌1-A'!$A20=0,"",'컨펌1-A'!A20)</f>
        <v/>
      </c>
      <c r="B21" s="170" t="str">
        <f>IF('컨펌1-A'!$A20=0,"",'컨펌1-A'!B20)</f>
        <v/>
      </c>
      <c r="C21" s="171" t="str">
        <f>IF('컨펌1-A'!$A20=0,"",'컨펌1-A'!C20)</f>
        <v/>
      </c>
      <c r="D21" s="172" t="str">
        <f>IF('컨펌1-A'!$A20=0,"",'컨펌1-A'!D20)</f>
        <v/>
      </c>
      <c r="E21" s="169" t="str">
        <f>IF('컨펌1-A'!$A20=0,"",'컨펌1-A'!E20)</f>
        <v/>
      </c>
      <c r="F21" s="171" t="str">
        <f>IF('컨펌1-A'!$A20=0,"",'컨펌1-A'!F20)</f>
        <v/>
      </c>
      <c r="G21" s="173" t="str">
        <f>IF('컨펌1-A'!$A20=0,"",'컨펌1-A'!G20)</f>
        <v/>
      </c>
      <c r="H21" s="169"/>
      <c r="I21" s="169" t="str">
        <f ca="1">'컨펌1-A'!I20</f>
        <v/>
      </c>
    </row>
    <row r="22" spans="1:9" ht="17.25" customHeight="1">
      <c r="A22" s="169" t="str">
        <f>IF('컨펌1-A'!$A21=0,"",'컨펌1-A'!A21)</f>
        <v/>
      </c>
      <c r="B22" s="170" t="str">
        <f>IF('컨펌1-A'!$A21=0,"",'컨펌1-A'!B21)</f>
        <v/>
      </c>
      <c r="C22" s="171" t="str">
        <f>IF('컨펌1-A'!$A21=0,"",'컨펌1-A'!C21)</f>
        <v/>
      </c>
      <c r="D22" s="172" t="str">
        <f>IF('컨펌1-A'!$A21=0,"",'컨펌1-A'!D21)</f>
        <v/>
      </c>
      <c r="E22" s="169" t="str">
        <f>IF('컨펌1-A'!$A21=0,"",'컨펌1-A'!E21)</f>
        <v/>
      </c>
      <c r="F22" s="171" t="str">
        <f>IF('컨펌1-A'!$A21=0,"",'컨펌1-A'!F21)</f>
        <v/>
      </c>
      <c r="G22" s="173" t="str">
        <f>IF('컨펌1-A'!$A21=0,"",'컨펌1-A'!G21)</f>
        <v/>
      </c>
      <c r="H22" s="169"/>
      <c r="I22" s="169" t="str">
        <f ca="1">'컨펌1-A'!I21</f>
        <v/>
      </c>
    </row>
    <row r="23" spans="1:9" ht="17.25" customHeight="1">
      <c r="A23" s="169" t="e">
        <f>IF('컨펌1-A'!$A22=0,"",'컨펌1-A'!A22)</f>
        <v>#REF!</v>
      </c>
      <c r="B23" s="170" t="e">
        <f>IF('컨펌1-A'!$A22=0,"",'컨펌1-A'!B22)</f>
        <v>#REF!</v>
      </c>
      <c r="C23" s="171" t="e">
        <f>IF('컨펌1-A'!$A22=0,"",'컨펌1-A'!C22)</f>
        <v>#REF!</v>
      </c>
      <c r="D23" s="172" t="e">
        <f>IF('컨펌1-A'!$A22=0,"",'컨펌1-A'!D22)</f>
        <v>#REF!</v>
      </c>
      <c r="E23" s="169" t="e">
        <f>IF('컨펌1-A'!$A22=0,"",'컨펌1-A'!E22)</f>
        <v>#REF!</v>
      </c>
      <c r="F23" s="171" t="e">
        <f>IF('컨펌1-A'!$A22=0,"",'컨펌1-A'!F22)</f>
        <v>#REF!</v>
      </c>
      <c r="G23" s="173" t="e">
        <f>IF('컨펌1-A'!$A22=0,"",'컨펌1-A'!G22)</f>
        <v>#REF!</v>
      </c>
      <c r="H23" s="169"/>
      <c r="I23" s="169" t="e">
        <f>'컨펌1-A'!I22</f>
        <v>#REF!</v>
      </c>
    </row>
    <row r="24" spans="1:9" ht="16.5" customHeight="1">
      <c r="A24" s="174" t="s">
        <v>64</v>
      </c>
      <c r="B24" s="175"/>
      <c r="C24" s="176"/>
      <c r="D24" s="177"/>
      <c r="E24" s="141"/>
      <c r="F24" s="178"/>
      <c r="G24" s="178"/>
      <c r="H24" s="179"/>
      <c r="I24" s="142" t="s">
        <v>30</v>
      </c>
    </row>
    <row r="25" spans="1:9" ht="15.75" customHeight="1">
      <c r="A25" s="180" t="str">
        <f>"* 위 CONFIRMATION으로 해당은행에 대한 송금신청을 대신합니다(수탁은행:"&amp;I24&amp;")"</f>
        <v>* 위 CONFIRMATION으로 해당은행에 대한 송금신청을 대신합니다(수탁은행:CITI)</v>
      </c>
      <c r="F25" s="181"/>
      <c r="I25" s="182"/>
    </row>
    <row r="26" spans="1:9" ht="15.75" customHeight="1">
      <c r="I26" s="182"/>
    </row>
    <row r="27" spans="1:9" ht="15.75" customHeight="1">
      <c r="A27" s="183" t="e">
        <f>C5</f>
        <v>#VALUE!</v>
      </c>
      <c r="E27" s="139" t="s">
        <v>32</v>
      </c>
      <c r="I27" s="182"/>
    </row>
    <row r="28" spans="1:9" ht="15.75" customHeight="1">
      <c r="I28" s="182"/>
    </row>
    <row r="29" spans="1:9" ht="15.75" customHeight="1">
      <c r="I29" s="182"/>
    </row>
    <row r="30" spans="1:9" ht="15.75" customHeight="1"/>
    <row r="31" spans="1:9" ht="15.75" customHeight="1">
      <c r="A31" s="154"/>
      <c r="B31" s="154"/>
      <c r="E31" s="154"/>
      <c r="F31" s="154"/>
    </row>
    <row r="32" spans="1:9" ht="15.75" customHeight="1">
      <c r="A32" s="139" t="s">
        <v>51</v>
      </c>
      <c r="E32" s="139" t="s">
        <v>51</v>
      </c>
    </row>
    <row r="35" spans="1:1" ht="19.5" customHeight="1">
      <c r="A35" s="184" t="s">
        <v>65</v>
      </c>
    </row>
    <row r="65536" spans="8:8" ht="15.75" customHeight="1">
      <c r="H65536" s="168" t="s">
        <v>40</v>
      </c>
    </row>
  </sheetData>
  <mergeCells count="8">
    <mergeCell ref="I10:I11"/>
    <mergeCell ref="A2:H2"/>
    <mergeCell ref="A10:A11"/>
    <mergeCell ref="B10:C10"/>
    <mergeCell ref="D10:D11"/>
    <mergeCell ref="E10:F10"/>
    <mergeCell ref="G10:G11"/>
    <mergeCell ref="H10:H11"/>
  </mergeCells>
  <phoneticPr fontId="9" type="noConversion"/>
  <printOptions horizontalCentered="1"/>
  <pageMargins left="0.74791666666666701" right="0.74791666666666701" top="1.22013888888889" bottom="0.98402777777777795" header="0.70833333333333304" footer="0.511811023622047"/>
  <pageSetup paperSize="9" orientation="portrait" horizontalDpi="300" verticalDpi="300"/>
  <headerFooter>
    <oddHeader>&amp;R&amp;D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8">
              <controlPr defaultSize="0" autoFill="0" autoPict="0" macro="Module2.uniquejointocell">
                <anchor moveWithCells="1">
                  <from>
                    <xdr:col>9</xdr:col>
                    <xdr:colOff>6350</xdr:colOff>
                    <xdr:row>9</xdr:row>
                    <xdr:rowOff>19050</xdr:rowOff>
                  </from>
                  <to>
                    <xdr:col>10</xdr:col>
                    <xdr:colOff>406400</xdr:colOff>
                    <xdr:row>10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33CCCC"/>
    <pageSetUpPr fitToPage="1"/>
  </sheetPr>
  <dimension ref="A2:IW42"/>
  <sheetViews>
    <sheetView showGridLines="0" zoomScaleNormal="100" workbookViewId="0">
      <selection activeCell="F20" sqref="F20"/>
    </sheetView>
  </sheetViews>
  <sheetFormatPr defaultColWidth="8.9140625" defaultRowHeight="15.5"/>
  <cols>
    <col min="1" max="1" width="9.58203125" style="139" customWidth="1"/>
    <col min="2" max="2" width="9.33203125" style="139" customWidth="1"/>
    <col min="3" max="3" width="15.75" style="139" customWidth="1"/>
    <col min="4" max="4" width="7.9140625" style="139" customWidth="1"/>
    <col min="5" max="5" width="6.25" style="139" customWidth="1"/>
    <col min="6" max="6" width="15.75" style="139" customWidth="1"/>
    <col min="7" max="7" width="10" style="139" customWidth="1"/>
    <col min="8" max="8" width="8.9140625" style="139"/>
    <col min="9" max="9" width="8.1640625" style="139" customWidth="1"/>
    <col min="10" max="11" width="8.9140625" style="139"/>
    <col min="12" max="12" width="10.6640625" style="139" customWidth="1"/>
    <col min="13" max="13" width="10.9140625" style="139" customWidth="1"/>
    <col min="14" max="14" width="14.1640625" style="139" customWidth="1"/>
    <col min="15" max="15" width="8.9140625" style="139"/>
    <col min="16" max="16" width="12.1640625" style="139" customWidth="1"/>
    <col min="17" max="257" width="8.9140625" style="139"/>
  </cols>
  <sheetData>
    <row r="2" spans="1:17" ht="20.25" customHeight="1">
      <c r="A2" s="354" t="s">
        <v>33</v>
      </c>
      <c r="B2" s="354"/>
      <c r="C2" s="354"/>
      <c r="D2" s="354"/>
      <c r="E2" s="354"/>
      <c r="F2" s="354"/>
      <c r="G2" s="354"/>
      <c r="H2" s="354"/>
      <c r="I2" s="140"/>
    </row>
    <row r="3" spans="1:17" ht="15.75" customHeight="1">
      <c r="A3" s="141"/>
      <c r="I3" s="142"/>
    </row>
    <row r="4" spans="1:17" ht="16.5" customHeight="1">
      <c r="A4" s="143" t="s">
        <v>34</v>
      </c>
      <c r="B4" s="144"/>
      <c r="C4" s="144" t="s">
        <v>32</v>
      </c>
      <c r="D4" s="145"/>
      <c r="E4" s="145"/>
      <c r="F4" s="145"/>
      <c r="G4" s="145"/>
      <c r="H4" s="145"/>
      <c r="I4" s="146"/>
    </row>
    <row r="5" spans="1:17" ht="16.5" customHeight="1">
      <c r="A5" s="147" t="s">
        <v>35</v>
      </c>
      <c r="B5" s="148"/>
      <c r="C5" s="185" t="s">
        <v>66</v>
      </c>
      <c r="I5" s="150"/>
    </row>
    <row r="6" spans="1:17" ht="16.5" customHeight="1">
      <c r="A6" s="147" t="s">
        <v>36</v>
      </c>
      <c r="B6" s="148"/>
      <c r="C6" s="148" t="s">
        <v>32</v>
      </c>
      <c r="I6" s="150"/>
    </row>
    <row r="7" spans="1:17" ht="16.5" customHeight="1">
      <c r="A7" s="151" t="s">
        <v>41</v>
      </c>
      <c r="B7" s="152"/>
      <c r="C7" s="153" t="s">
        <v>42</v>
      </c>
      <c r="D7" s="154"/>
      <c r="E7" s="154"/>
      <c r="F7" s="154"/>
      <c r="G7" s="154"/>
      <c r="H7" s="154"/>
      <c r="I7" s="155"/>
      <c r="Q7" s="139" t="s">
        <v>67</v>
      </c>
    </row>
    <row r="8" spans="1:17" ht="16.5" customHeight="1">
      <c r="A8" s="156"/>
      <c r="B8" s="156"/>
      <c r="C8" s="156"/>
      <c r="D8" s="156"/>
      <c r="E8" s="156"/>
      <c r="F8" s="157"/>
      <c r="H8" s="158" t="s">
        <v>60</v>
      </c>
      <c r="I8" s="159">
        <f ca="1">TODAY()</f>
        <v>46221</v>
      </c>
    </row>
    <row r="9" spans="1:17" ht="15.75" customHeight="1">
      <c r="A9" s="353" t="s">
        <v>43</v>
      </c>
      <c r="B9" s="355" t="str">
        <f>C5&amp;"매수"</f>
        <v>한국투신운용매수</v>
      </c>
      <c r="C9" s="355"/>
      <c r="D9" s="353" t="s">
        <v>44</v>
      </c>
      <c r="E9" s="356" t="str">
        <f>C5&amp;"매도"</f>
        <v>한국투신운용매도</v>
      </c>
      <c r="F9" s="356"/>
      <c r="G9" s="353" t="s">
        <v>45</v>
      </c>
      <c r="H9" s="353" t="s">
        <v>46</v>
      </c>
      <c r="I9" s="353" t="s">
        <v>47</v>
      </c>
    </row>
    <row r="10" spans="1:17" ht="15.75" customHeight="1">
      <c r="A10" s="353"/>
      <c r="B10" s="160" t="s">
        <v>49</v>
      </c>
      <c r="C10" s="160" t="s">
        <v>50</v>
      </c>
      <c r="D10" s="353"/>
      <c r="E10" s="1" t="s">
        <v>49</v>
      </c>
      <c r="F10" s="161" t="s">
        <v>50</v>
      </c>
      <c r="G10" s="353"/>
      <c r="H10" s="353"/>
      <c r="I10" s="353"/>
      <c r="L10" s="139" t="s">
        <v>68</v>
      </c>
    </row>
    <row r="11" spans="1:17" ht="17.25" customHeight="1">
      <c r="A11" s="162">
        <f>IF('컨펌1-A'!$A11=0,"",'컨펌1-A'!A11)</f>
        <v>1850</v>
      </c>
      <c r="B11" s="163" t="str">
        <f>IF('컨펌1-A'!$A11=0,"",'컨펌1-A'!B11)</f>
        <v>KRW</v>
      </c>
      <c r="C11" s="164">
        <f>IF('컨펌1-A'!$A11=0,"",'컨펌1-A'!C11)</f>
        <v>150000000</v>
      </c>
      <c r="D11" s="165">
        <f>IF('컨펌1-A'!$A11=0,"",'컨펌1-A'!D11)</f>
        <v>1500</v>
      </c>
      <c r="E11" s="162" t="str">
        <f>IF('컨펌1-A'!$A11=0,"",'컨펌1-A'!E11)</f>
        <v>USD</v>
      </c>
      <c r="F11" s="164">
        <f>IF('컨펌1-A'!$A11=0,"",'컨펌1-A'!F11)</f>
        <v>100000</v>
      </c>
      <c r="G11" s="166">
        <f>IF('컨펌1-A'!$A11=0,"",'컨펌1-A'!G11)</f>
        <v>46280</v>
      </c>
      <c r="H11" s="167" t="s">
        <v>63</v>
      </c>
      <c r="I11" s="168" t="str">
        <f ca="1">'컨펌1-A'!I11</f>
        <v>KSFC</v>
      </c>
      <c r="J11" s="139" t="s">
        <v>62</v>
      </c>
      <c r="L11" s="186" t="s">
        <v>69</v>
      </c>
      <c r="M11" s="186" t="s">
        <v>70</v>
      </c>
      <c r="N11" s="187" t="s">
        <v>71</v>
      </c>
      <c r="O11" s="186" t="s">
        <v>72</v>
      </c>
      <c r="P11" s="187"/>
    </row>
    <row r="12" spans="1:17" ht="17.25" customHeight="1">
      <c r="A12" s="162">
        <f>IF('컨펌1-A'!$A12=0,"",'컨펌1-A'!A12)</f>
        <v>1849</v>
      </c>
      <c r="B12" s="163" t="str">
        <f>IF('컨펌1-A'!$A12=0,"",'컨펌1-A'!B12)</f>
        <v>USD</v>
      </c>
      <c r="C12" s="164">
        <f>IF('컨펌1-A'!$A12=0,"",'컨펌1-A'!C12)</f>
        <v>150000</v>
      </c>
      <c r="D12" s="165">
        <f>IF('컨펌1-A'!$A12=0,"",'컨펌1-A'!D12)</f>
        <v>1500</v>
      </c>
      <c r="E12" s="162" t="str">
        <f>IF('컨펌1-A'!$A12=0,"",'컨펌1-A'!E12)</f>
        <v>KRW</v>
      </c>
      <c r="F12" s="164">
        <f>IF('컨펌1-A'!$A12=0,"",'컨펌1-A'!F12)</f>
        <v>225000000</v>
      </c>
      <c r="G12" s="166">
        <f>IF('컨펌1-A'!$A12=0,"",'컨펌1-A'!G12)</f>
        <v>46280</v>
      </c>
      <c r="H12" s="167" t="s">
        <v>63</v>
      </c>
      <c r="I12" s="168" t="str">
        <f ca="1">'컨펌1-A'!I12</f>
        <v>KB</v>
      </c>
      <c r="J12" s="168" t="s">
        <v>40</v>
      </c>
      <c r="L12" s="141">
        <v>1366.05</v>
      </c>
      <c r="M12" s="188">
        <v>1364.8</v>
      </c>
      <c r="N12" s="189">
        <f>M12-L12</f>
        <v>-1.25</v>
      </c>
      <c r="O12" s="190">
        <v>84000</v>
      </c>
    </row>
    <row r="13" spans="1:17" ht="17.25" customHeight="1">
      <c r="A13" s="162" t="str">
        <f>IF('컨펌1-A'!$A13=0,"",'컨펌1-A'!A13)</f>
        <v>FB20</v>
      </c>
      <c r="B13" s="163" t="str">
        <f>IF('컨펌1-A'!$A13=0,"",'컨펌1-A'!B13)</f>
        <v>KRW</v>
      </c>
      <c r="C13" s="164">
        <f>IF('컨펌1-A'!$A13=0,"",'컨펌1-A'!C13)</f>
        <v>0</v>
      </c>
      <c r="D13" s="165">
        <f>IF('컨펌1-A'!$A13=0,"",'컨펌1-A'!D13)</f>
        <v>0</v>
      </c>
      <c r="E13" s="162" t="str">
        <f>IF('컨펌1-A'!$A13=0,"",'컨펌1-A'!E13)</f>
        <v>KRW</v>
      </c>
      <c r="F13" s="164">
        <f>IF('컨펌1-A'!$A13=0,"",'컨펌1-A'!F13)</f>
        <v>0</v>
      </c>
      <c r="G13" s="166">
        <f>IF('컨펌1-A'!$A13=0,"",'컨펌1-A'!G13)</f>
        <v>0</v>
      </c>
      <c r="H13" s="167" t="s">
        <v>63</v>
      </c>
      <c r="I13" s="168" t="str">
        <f ca="1">'컨펌1-A'!I13</f>
        <v>HSBC</v>
      </c>
      <c r="J13" s="168" t="s">
        <v>61</v>
      </c>
      <c r="L13" s="186" t="s">
        <v>73</v>
      </c>
    </row>
    <row r="14" spans="1:17" ht="18" customHeight="1">
      <c r="A14" s="162" t="str">
        <f>IF('컨펌1-A'!$A14=0,"",'컨펌1-A'!A14)</f>
        <v/>
      </c>
      <c r="B14" s="163" t="str">
        <f>IF('컨펌1-A'!$A14=0,"",'컨펌1-A'!B14)</f>
        <v/>
      </c>
      <c r="C14" s="164" t="str">
        <f>IF('컨펌1-A'!$A14=0,"",'컨펌1-A'!C14)</f>
        <v/>
      </c>
      <c r="D14" s="165" t="str">
        <f>IF('컨펌1-A'!$A14=0,"",'컨펌1-A'!D14)</f>
        <v/>
      </c>
      <c r="E14" s="162" t="str">
        <f>IF('컨펌1-A'!$A14=0,"",'컨펌1-A'!E14)</f>
        <v/>
      </c>
      <c r="F14" s="164" t="str">
        <f>IF('컨펌1-A'!$A14=0,"",'컨펌1-A'!F14)</f>
        <v/>
      </c>
      <c r="G14" s="166" t="str">
        <f>IF('컨펌1-A'!$A14=0,"",'컨펌1-A'!G14)</f>
        <v/>
      </c>
      <c r="H14" s="167" t="s">
        <v>63</v>
      </c>
      <c r="I14" s="168" t="str">
        <f ca="1">'컨펌1-A'!I14</f>
        <v/>
      </c>
      <c r="J14" s="168" t="s">
        <v>63</v>
      </c>
      <c r="L14" s="191">
        <f>ROUNDDOWN((O12*N12),0)</f>
        <v>-105000</v>
      </c>
    </row>
    <row r="15" spans="1:17" ht="17.25" customHeight="1">
      <c r="A15" s="169" t="str">
        <f>IF('컨펌1-A'!$A15=0,"",'컨펌1-A'!A15)</f>
        <v/>
      </c>
      <c r="B15" s="170" t="str">
        <f>IF('컨펌1-A'!$A15=0,"",'컨펌1-A'!B15)</f>
        <v/>
      </c>
      <c r="C15" s="171" t="str">
        <f>IF('컨펌1-A'!$A15=0,"",'컨펌1-A'!C15)</f>
        <v/>
      </c>
      <c r="D15" s="172" t="str">
        <f>IF('컨펌1-A'!$A15=0,"",'컨펌1-A'!D15)</f>
        <v/>
      </c>
      <c r="E15" s="169" t="str">
        <f>IF('컨펌1-A'!$A15=0,"",'컨펌1-A'!E15)</f>
        <v/>
      </c>
      <c r="F15" s="171" t="str">
        <f>IF('컨펌1-A'!$A15=0,"",'컨펌1-A'!F15)</f>
        <v/>
      </c>
      <c r="G15" s="173" t="str">
        <f>IF('컨펌1-A'!$A15=0,"",'컨펌1-A'!G15)</f>
        <v/>
      </c>
      <c r="H15" s="168"/>
      <c r="I15" s="168" t="str">
        <f ca="1">'컨펌1-A'!I15</f>
        <v/>
      </c>
    </row>
    <row r="16" spans="1:17" ht="17.25" customHeight="1">
      <c r="A16" s="169" t="str">
        <f>IF('컨펌1-A'!$A16=0,"",'컨펌1-A'!A16)</f>
        <v/>
      </c>
      <c r="B16" s="170" t="str">
        <f>IF('컨펌1-A'!$A16=0,"",'컨펌1-A'!B16)</f>
        <v/>
      </c>
      <c r="C16" s="171" t="str">
        <f>IF('컨펌1-A'!$A16=0,"",'컨펌1-A'!C16)</f>
        <v/>
      </c>
      <c r="D16" s="172" t="str">
        <f>IF('컨펌1-A'!$A16=0,"",'컨펌1-A'!D16)</f>
        <v/>
      </c>
      <c r="E16" s="169" t="str">
        <f>IF('컨펌1-A'!$A16=0,"",'컨펌1-A'!E16)</f>
        <v/>
      </c>
      <c r="F16" s="171" t="str">
        <f>IF('컨펌1-A'!$A16=0,"",'컨펌1-A'!F16)</f>
        <v/>
      </c>
      <c r="G16" s="173" t="str">
        <f>IF('컨펌1-A'!$A16=0,"",'컨펌1-A'!G16)</f>
        <v/>
      </c>
      <c r="H16" s="168"/>
      <c r="I16" s="168" t="str">
        <f ca="1">'컨펌1-A'!I16</f>
        <v/>
      </c>
    </row>
    <row r="17" spans="1:9" ht="17.25" customHeight="1">
      <c r="A17" s="169" t="str">
        <f>IF('컨펌1-A'!$A17=0,"",'컨펌1-A'!A17)</f>
        <v/>
      </c>
      <c r="B17" s="170" t="str">
        <f>IF('컨펌1-A'!$A17=0,"",'컨펌1-A'!B17)</f>
        <v/>
      </c>
      <c r="C17" s="171" t="str">
        <f>IF('컨펌1-A'!$A17=0,"",'컨펌1-A'!C17)</f>
        <v/>
      </c>
      <c r="D17" s="172" t="str">
        <f>IF('컨펌1-A'!$A17=0,"",'컨펌1-A'!D17)</f>
        <v/>
      </c>
      <c r="E17" s="169" t="str">
        <f>IF('컨펌1-A'!$A17=0,"",'컨펌1-A'!E17)</f>
        <v/>
      </c>
      <c r="F17" s="171" t="str">
        <f>IF('컨펌1-A'!$A17=0,"",'컨펌1-A'!F17)</f>
        <v/>
      </c>
      <c r="G17" s="173" t="str">
        <f>IF('컨펌1-A'!$A17=0,"",'컨펌1-A'!G17)</f>
        <v/>
      </c>
      <c r="H17" s="168"/>
      <c r="I17" s="168" t="str">
        <f ca="1">'컨펌1-A'!I17</f>
        <v/>
      </c>
    </row>
    <row r="18" spans="1:9" ht="17.25" customHeight="1">
      <c r="A18" s="169" t="str">
        <f>IF('컨펌1-A'!$A18=0,"",'컨펌1-A'!A18)</f>
        <v/>
      </c>
      <c r="B18" s="170" t="str">
        <f>IF('컨펌1-A'!$A18=0,"",'컨펌1-A'!B18)</f>
        <v/>
      </c>
      <c r="C18" s="171" t="str">
        <f>IF('컨펌1-A'!$A18=0,"",'컨펌1-A'!C18)</f>
        <v/>
      </c>
      <c r="D18" s="172" t="str">
        <f>IF('컨펌1-A'!$A18=0,"",'컨펌1-A'!D18)</f>
        <v/>
      </c>
      <c r="E18" s="169" t="str">
        <f>IF('컨펌1-A'!$A18=0,"",'컨펌1-A'!E18)</f>
        <v/>
      </c>
      <c r="F18" s="171" t="str">
        <f>IF('컨펌1-A'!$A18=0,"",'컨펌1-A'!F18)</f>
        <v/>
      </c>
      <c r="G18" s="173" t="str">
        <f>IF('컨펌1-A'!$A18=0,"",'컨펌1-A'!G18)</f>
        <v/>
      </c>
      <c r="H18" s="168"/>
      <c r="I18" s="168" t="str">
        <f ca="1">'컨펌1-A'!I18</f>
        <v/>
      </c>
    </row>
    <row r="19" spans="1:9" ht="17.25" customHeight="1">
      <c r="A19" s="169" t="str">
        <f>IF('컨펌1-A'!$A19=0,"",'컨펌1-A'!A19)</f>
        <v/>
      </c>
      <c r="B19" s="170" t="str">
        <f>IF('컨펌1-A'!$A19=0,"",'컨펌1-A'!B19)</f>
        <v/>
      </c>
      <c r="C19" s="171" t="str">
        <f>IF('컨펌1-A'!$A19=0,"",'컨펌1-A'!C19)</f>
        <v/>
      </c>
      <c r="D19" s="172" t="str">
        <f>IF('컨펌1-A'!$A19=0,"",'컨펌1-A'!D19)</f>
        <v/>
      </c>
      <c r="E19" s="169" t="str">
        <f>IF('컨펌1-A'!$A19=0,"",'컨펌1-A'!E19)</f>
        <v/>
      </c>
      <c r="F19" s="171" t="str">
        <f>IF('컨펌1-A'!$A19=0,"",'컨펌1-A'!F19)</f>
        <v/>
      </c>
      <c r="G19" s="173" t="str">
        <f>IF('컨펌1-A'!$A19=0,"",'컨펌1-A'!G19)</f>
        <v/>
      </c>
      <c r="H19" s="168"/>
      <c r="I19" s="168" t="str">
        <f ca="1">'컨펌1-A'!I19</f>
        <v/>
      </c>
    </row>
    <row r="20" spans="1:9" ht="17.25" customHeight="1">
      <c r="A20" s="169" t="str">
        <f>IF('컨펌1-A'!$A20=0,"",'컨펌1-A'!A20)</f>
        <v/>
      </c>
      <c r="B20" s="170" t="str">
        <f>IF('컨펌1-A'!$A20=0,"",'컨펌1-A'!B20)</f>
        <v/>
      </c>
      <c r="C20" s="171" t="str">
        <f>IF('컨펌1-A'!$A20=0,"",'컨펌1-A'!C20)</f>
        <v/>
      </c>
      <c r="D20" s="172" t="str">
        <f>IF('컨펌1-A'!$A20=0,"",'컨펌1-A'!D20)</f>
        <v/>
      </c>
      <c r="E20" s="169" t="str">
        <f>IF('컨펌1-A'!$A20=0,"",'컨펌1-A'!E20)</f>
        <v/>
      </c>
      <c r="F20" s="171" t="str">
        <f>IF('컨펌1-A'!$A20=0,"",'컨펌1-A'!F20)</f>
        <v/>
      </c>
      <c r="G20" s="173" t="str">
        <f>IF('컨펌1-A'!$A20=0,"",'컨펌1-A'!G20)</f>
        <v/>
      </c>
      <c r="H20" s="168"/>
      <c r="I20" s="168" t="str">
        <f ca="1">'컨펌1-A'!I20</f>
        <v/>
      </c>
    </row>
    <row r="21" spans="1:9" ht="17.25" customHeight="1">
      <c r="A21" s="169" t="str">
        <f>IF('컨펌1-A'!$A21=0,"",'컨펌1-A'!A21)</f>
        <v/>
      </c>
      <c r="B21" s="170" t="str">
        <f>IF('컨펌1-A'!$A21=0,"",'컨펌1-A'!B21)</f>
        <v/>
      </c>
      <c r="C21" s="171" t="str">
        <f>IF('컨펌1-A'!$A21=0,"",'컨펌1-A'!C21)</f>
        <v/>
      </c>
      <c r="D21" s="172" t="str">
        <f>IF('컨펌1-A'!$A21=0,"",'컨펌1-A'!D21)</f>
        <v/>
      </c>
      <c r="E21" s="169" t="str">
        <f>IF('컨펌1-A'!$A21=0,"",'컨펌1-A'!E21)</f>
        <v/>
      </c>
      <c r="F21" s="171" t="str">
        <f>IF('컨펌1-A'!$A21=0,"",'컨펌1-A'!F21)</f>
        <v/>
      </c>
      <c r="G21" s="173" t="str">
        <f>IF('컨펌1-A'!$A21=0,"",'컨펌1-A'!G21)</f>
        <v/>
      </c>
      <c r="H21" s="168"/>
      <c r="I21" s="168" t="str">
        <f ca="1">'컨펌1-A'!I21</f>
        <v/>
      </c>
    </row>
    <row r="22" spans="1:9" ht="18" customHeight="1">
      <c r="A22" s="169" t="e">
        <f>IF('컨펌1-A'!$A22=0,"",'컨펌1-A'!A22)</f>
        <v>#REF!</v>
      </c>
      <c r="B22" s="170" t="e">
        <f>IF('컨펌1-A'!$A22=0,"",'컨펌1-A'!B22)</f>
        <v>#REF!</v>
      </c>
      <c r="C22" s="171" t="e">
        <f>IF('컨펌1-A'!$A22=0,"",'컨펌1-A'!C22)</f>
        <v>#REF!</v>
      </c>
      <c r="D22" s="172" t="e">
        <f>IF('컨펌1-A'!$A22=0,"",'컨펌1-A'!D22)</f>
        <v>#REF!</v>
      </c>
      <c r="E22" s="169" t="e">
        <f>IF('컨펌1-A'!$A22=0,"",'컨펌1-A'!E22)</f>
        <v>#REF!</v>
      </c>
      <c r="F22" s="171" t="e">
        <f>IF('컨펌1-A'!$A22=0,"",'컨펌1-A'!F22)</f>
        <v>#REF!</v>
      </c>
      <c r="G22" s="173" t="e">
        <f>IF('컨펌1-A'!$A22=0,"",'컨펌1-A'!G22)</f>
        <v>#REF!</v>
      </c>
      <c r="H22" s="168"/>
      <c r="I22" s="168" t="e">
        <f>'컨펌1-A'!I22</f>
        <v>#REF!</v>
      </c>
    </row>
    <row r="23" spans="1:9" ht="18" customHeight="1">
      <c r="A23" s="357">
        <f>G11</f>
        <v>46280</v>
      </c>
      <c r="B23" s="357"/>
      <c r="C23" s="357"/>
      <c r="D23" s="192"/>
      <c r="E23" s="193"/>
      <c r="F23" s="194"/>
      <c r="G23" s="195"/>
      <c r="H23" s="196"/>
      <c r="I23" s="196"/>
    </row>
    <row r="24" spans="1:9" ht="18" customHeight="1">
      <c r="A24" s="197" t="s">
        <v>74</v>
      </c>
      <c r="B24" s="198" t="s">
        <v>75</v>
      </c>
      <c r="C24" s="199" t="s">
        <v>76</v>
      </c>
      <c r="D24" s="192"/>
      <c r="E24" s="193"/>
      <c r="F24" s="200"/>
      <c r="G24" s="194"/>
      <c r="H24" s="201"/>
      <c r="I24" s="201" t="s">
        <v>77</v>
      </c>
    </row>
    <row r="25" spans="1:9" ht="18" customHeight="1">
      <c r="A25" s="202" t="s">
        <v>78</v>
      </c>
      <c r="B25" s="203" t="s">
        <v>79</v>
      </c>
      <c r="C25" s="204">
        <v>2873700</v>
      </c>
      <c r="D25" s="192"/>
      <c r="E25" s="193"/>
      <c r="F25" s="205"/>
      <c r="G25" s="194"/>
      <c r="H25" s="201"/>
      <c r="I25" s="201"/>
    </row>
    <row r="26" spans="1:9" ht="17.25" customHeight="1">
      <c r="A26" s="206" t="s">
        <v>80</v>
      </c>
      <c r="B26" s="203" t="s">
        <v>79</v>
      </c>
      <c r="C26" s="207">
        <v>837000</v>
      </c>
      <c r="D26" s="192"/>
      <c r="E26" s="193"/>
      <c r="F26" s="205"/>
      <c r="G26" s="194"/>
      <c r="H26" s="201"/>
      <c r="I26" s="201"/>
    </row>
    <row r="27" spans="1:9" ht="17.25" customHeight="1">
      <c r="A27" s="206"/>
      <c r="B27" s="208"/>
      <c r="C27" s="207"/>
      <c r="D27" s="192"/>
      <c r="E27" s="193"/>
      <c r="F27" s="205"/>
      <c r="G27" s="194"/>
      <c r="H27" s="201"/>
      <c r="I27" s="201"/>
    </row>
    <row r="28" spans="1:9" ht="17.25" customHeight="1">
      <c r="A28" s="206"/>
      <c r="B28" s="208"/>
      <c r="C28" s="207"/>
      <c r="D28" s="192"/>
      <c r="E28" s="193"/>
      <c r="F28" s="205"/>
      <c r="G28" s="194"/>
      <c r="H28" s="201"/>
      <c r="I28" s="201"/>
    </row>
    <row r="29" spans="1:9" ht="17.25" customHeight="1">
      <c r="A29" s="206"/>
      <c r="B29" s="208"/>
      <c r="C29" s="207"/>
      <c r="D29" s="192"/>
      <c r="E29" s="193"/>
      <c r="F29" s="205"/>
      <c r="G29" s="194"/>
      <c r="H29" s="201"/>
      <c r="I29" s="201"/>
    </row>
    <row r="30" spans="1:9" ht="18" customHeight="1">
      <c r="A30" s="209"/>
      <c r="B30" s="210"/>
      <c r="C30" s="191"/>
      <c r="D30" s="192"/>
      <c r="E30" s="193"/>
      <c r="F30" s="205"/>
      <c r="G30" s="194"/>
      <c r="H30" s="201"/>
      <c r="I30" s="201"/>
    </row>
    <row r="31" spans="1:9" ht="16.5" customHeight="1">
      <c r="A31" s="174" t="s">
        <v>64</v>
      </c>
      <c r="B31" s="175"/>
      <c r="C31" s="176"/>
      <c r="D31" s="177"/>
      <c r="E31" s="141"/>
      <c r="F31" s="178"/>
      <c r="G31" s="178"/>
      <c r="H31" s="179"/>
      <c r="I31" s="182"/>
    </row>
    <row r="32" spans="1:9" ht="15.75" customHeight="1">
      <c r="A32" s="180" t="str">
        <f>"* 위 CONFIRMATION으로 해당은행에 대한 송금신청을 대신합니다(수탁은행:"&amp;I24&amp;")"</f>
        <v>* 위 CONFIRMATION으로 해당은행에 대한 송금신청을 대신합니다(수탁은행:KB,HSBC)</v>
      </c>
      <c r="F32" s="181"/>
      <c r="I32" s="182"/>
    </row>
    <row r="33" spans="1:9" ht="15.75" customHeight="1">
      <c r="I33" s="182"/>
    </row>
    <row r="34" spans="1:9" ht="15.75" customHeight="1">
      <c r="A34" s="186" t="str">
        <f>C5</f>
        <v>한국투신운용</v>
      </c>
      <c r="E34" s="139" t="s">
        <v>32</v>
      </c>
    </row>
    <row r="38" spans="1:9" ht="15.75" customHeight="1">
      <c r="A38" s="154"/>
      <c r="B38" s="154"/>
      <c r="E38" s="154"/>
      <c r="F38" s="154"/>
    </row>
    <row r="39" spans="1:9" ht="15.75" customHeight="1">
      <c r="A39" s="139" t="s">
        <v>51</v>
      </c>
      <c r="E39" s="139" t="s">
        <v>51</v>
      </c>
    </row>
    <row r="42" spans="1:9" ht="19.5" customHeight="1">
      <c r="A42" s="184" t="s">
        <v>65</v>
      </c>
    </row>
  </sheetData>
  <mergeCells count="9">
    <mergeCell ref="I9:I10"/>
    <mergeCell ref="A23:C23"/>
    <mergeCell ref="A2:H2"/>
    <mergeCell ref="A9:A10"/>
    <mergeCell ref="B9:C9"/>
    <mergeCell ref="D9:D10"/>
    <mergeCell ref="E9:F9"/>
    <mergeCell ref="G9:G10"/>
    <mergeCell ref="H9:H10"/>
  </mergeCells>
  <phoneticPr fontId="9" type="noConversion"/>
  <printOptions horizontalCentered="1"/>
  <pageMargins left="0.74791666666666701" right="0.74791666666666701" top="1.22013888888889" bottom="0.98402777777777795" header="0.70833333333333304" footer="0.511811023622047"/>
  <pageSetup paperSize="9" orientation="portrait" horizontalDpi="300" verticalDpi="300"/>
  <headerFooter>
    <oddHeader>&amp;R&amp;D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1">
              <controlPr defaultSize="0" autoPict="0" macro="Module2.uniquejointocell">
                <anchor moveWithCells="1" sizeWithCells="1">
                  <from>
                    <xdr:col>9</xdr:col>
                    <xdr:colOff>6350</xdr:colOff>
                    <xdr:row>7</xdr:row>
                    <xdr:rowOff>101600</xdr:rowOff>
                  </from>
                  <to>
                    <xdr:col>10</xdr:col>
                    <xdr:colOff>184150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" r:id="rId4" name="Button 2">
              <controlPr defaultSize="0" autoPict="0" macro="Module2.uniquejointocell">
                <anchor moveWithCells="1" sizeWithCells="1">
                  <from>
                    <xdr:col>9</xdr:col>
                    <xdr:colOff>6350</xdr:colOff>
                    <xdr:row>8</xdr:row>
                    <xdr:rowOff>12700</xdr:rowOff>
                  </from>
                  <to>
                    <xdr:col>10</xdr:col>
                    <xdr:colOff>273050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autoFill="0" autoPict="0" macro="Module2.uniquejointocell" altText="수탁은행">
                <anchor moveWithCells="1">
                  <from>
                    <xdr:col>9</xdr:col>
                    <xdr:colOff>6350</xdr:colOff>
                    <xdr:row>7</xdr:row>
                    <xdr:rowOff>152400</xdr:rowOff>
                  </from>
                  <to>
                    <xdr:col>10</xdr:col>
                    <xdr:colOff>273050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autoFill="0" autoPict="0" macro="Module2.uniquejointocell" altText="수탁은행">
                <anchor moveWithCells="1">
                  <from>
                    <xdr:col>9</xdr:col>
                    <xdr:colOff>6350</xdr:colOff>
                    <xdr:row>8</xdr:row>
                    <xdr:rowOff>19050</xdr:rowOff>
                  </from>
                  <to>
                    <xdr:col>10</xdr:col>
                    <xdr:colOff>406400</xdr:colOff>
                    <xdr:row>9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CC00"/>
    <pageSetUpPr fitToPage="1"/>
  </sheetPr>
  <dimension ref="A2:IW46"/>
  <sheetViews>
    <sheetView showGridLines="0" zoomScaleNormal="100" workbookViewId="0">
      <selection activeCell="B25" sqref="B25"/>
    </sheetView>
  </sheetViews>
  <sheetFormatPr defaultColWidth="8.9140625" defaultRowHeight="15.5"/>
  <cols>
    <col min="1" max="1" width="9.58203125" style="139" customWidth="1"/>
    <col min="2" max="2" width="9.33203125" style="139" customWidth="1"/>
    <col min="3" max="3" width="15.75" style="139" customWidth="1"/>
    <col min="4" max="4" width="10.1640625" style="139" customWidth="1"/>
    <col min="5" max="5" width="8.1640625" style="139" customWidth="1"/>
    <col min="6" max="6" width="15.75" style="139" customWidth="1"/>
    <col min="7" max="7" width="10" style="139" customWidth="1"/>
    <col min="8" max="8" width="12.9140625" style="139" customWidth="1"/>
    <col min="9" max="9" width="8.1640625" style="139" customWidth="1"/>
    <col min="10" max="11" width="8.9140625" style="139"/>
    <col min="12" max="12" width="17.75" style="139" customWidth="1"/>
    <col min="13" max="13" width="10.9140625" style="139" customWidth="1"/>
    <col min="14" max="14" width="14.1640625" style="139" customWidth="1"/>
    <col min="15" max="15" width="11.08203125" style="139" customWidth="1"/>
    <col min="16" max="16" width="12.1640625" style="139" customWidth="1"/>
    <col min="17" max="257" width="8.9140625" style="139"/>
  </cols>
  <sheetData>
    <row r="2" spans="1:17" ht="20.25" customHeight="1">
      <c r="A2" s="354" t="s">
        <v>81</v>
      </c>
      <c r="B2" s="354"/>
      <c r="C2" s="354"/>
      <c r="D2" s="354"/>
      <c r="E2" s="354"/>
      <c r="F2" s="354"/>
      <c r="G2" s="354"/>
      <c r="H2" s="354"/>
      <c r="I2" s="211"/>
    </row>
    <row r="3" spans="1:17" ht="15.75" customHeight="1">
      <c r="A3" s="141"/>
      <c r="I3" s="212"/>
    </row>
    <row r="4" spans="1:17" ht="16.5" customHeight="1">
      <c r="A4" s="143" t="s">
        <v>34</v>
      </c>
      <c r="B4" s="144"/>
      <c r="C4" s="144" t="s">
        <v>32</v>
      </c>
      <c r="D4" s="145"/>
      <c r="E4" s="145"/>
      <c r="F4" s="145"/>
      <c r="G4" s="145"/>
      <c r="H4" s="145"/>
      <c r="I4" s="146"/>
    </row>
    <row r="5" spans="1:17" ht="16.5" customHeight="1">
      <c r="A5" s="147" t="s">
        <v>35</v>
      </c>
      <c r="B5" s="148"/>
      <c r="C5" s="185" t="e">
        <f>TRIM(SUBSTITUTE('딜티켓 '!C9,MID('딜티켓 '!C9,FIND("(",'딜티켓 '!C9),FIND(")",'딜티켓 '!C9)-FIND("(",'딜티켓 '!C9)+1),""))&amp;"자산운용"</f>
        <v>#VALUE!</v>
      </c>
      <c r="I5" s="150"/>
    </row>
    <row r="6" spans="1:17" ht="16.5" customHeight="1">
      <c r="A6" s="147" t="s">
        <v>36</v>
      </c>
      <c r="B6" s="148"/>
      <c r="C6" s="148" t="s">
        <v>32</v>
      </c>
      <c r="I6" s="150"/>
    </row>
    <row r="7" spans="1:17" ht="16.5" customHeight="1">
      <c r="A7" s="151" t="s">
        <v>41</v>
      </c>
      <c r="B7" s="152"/>
      <c r="C7" s="153" t="s">
        <v>42</v>
      </c>
      <c r="D7" s="154"/>
      <c r="E7" s="154"/>
      <c r="F7" s="154"/>
      <c r="G7" s="154"/>
      <c r="H7" s="154"/>
      <c r="I7" s="155"/>
      <c r="Q7" s="139" t="s">
        <v>67</v>
      </c>
    </row>
    <row r="8" spans="1:17" ht="16.5" customHeight="1">
      <c r="A8" s="156"/>
      <c r="B8" s="156"/>
      <c r="C8" s="156"/>
      <c r="D8" s="156"/>
      <c r="E8" s="156"/>
      <c r="F8" s="157"/>
      <c r="H8" s="157" t="s">
        <v>60</v>
      </c>
      <c r="I8" s="213">
        <f ca="1">TODAY()</f>
        <v>46221</v>
      </c>
      <c r="Q8" s="148" t="s">
        <v>82</v>
      </c>
    </row>
    <row r="9" spans="1:17" ht="15.75" customHeight="1">
      <c r="A9" s="353" t="s">
        <v>43</v>
      </c>
      <c r="B9" s="355" t="e">
        <f>C5&amp;"매수"</f>
        <v>#VALUE!</v>
      </c>
      <c r="C9" s="355"/>
      <c r="D9" s="353" t="s">
        <v>44</v>
      </c>
      <c r="E9" s="356" t="e">
        <f>C5&amp;"매도"</f>
        <v>#VALUE!</v>
      </c>
      <c r="F9" s="356"/>
      <c r="G9" s="353" t="s">
        <v>45</v>
      </c>
      <c r="H9" s="353" t="s">
        <v>46</v>
      </c>
      <c r="I9" s="353" t="s">
        <v>47</v>
      </c>
    </row>
    <row r="10" spans="1:17" ht="16.5" customHeight="1">
      <c r="A10" s="353"/>
      <c r="B10" s="160" t="s">
        <v>49</v>
      </c>
      <c r="C10" s="160" t="s">
        <v>50</v>
      </c>
      <c r="D10" s="353"/>
      <c r="E10" s="1" t="s">
        <v>49</v>
      </c>
      <c r="F10" s="161" t="s">
        <v>50</v>
      </c>
      <c r="G10" s="353"/>
      <c r="H10" s="353"/>
      <c r="I10" s="353"/>
      <c r="L10" s="139" t="s">
        <v>83</v>
      </c>
    </row>
    <row r="11" spans="1:17" ht="17.25" customHeight="1">
      <c r="A11" s="169">
        <f>IF('컨펌1-A'!$A11=0,"",'컨펌1-A'!A11)</f>
        <v>1850</v>
      </c>
      <c r="B11" s="170" t="str">
        <f>IF('컨펌1-A'!$A11=0,"",'컨펌1-A'!B11)</f>
        <v>KRW</v>
      </c>
      <c r="C11" s="171">
        <f>IF('컨펌1-A'!$A11=0,"",'컨펌1-A'!C11)</f>
        <v>150000000</v>
      </c>
      <c r="D11" s="172">
        <f>IF('컨펌1-A'!$A11=0,"",'컨펌1-A'!D11)</f>
        <v>1500</v>
      </c>
      <c r="E11" s="169" t="str">
        <f>IF('컨펌1-A'!$A11=0,"",'컨펌1-A'!E11)</f>
        <v>USD</v>
      </c>
      <c r="F11" s="171">
        <f>IF('컨펌1-A'!$A11=0,"",'컨펌1-A'!F11)</f>
        <v>100000</v>
      </c>
      <c r="G11" s="173">
        <f>IF('컨펌1-A'!$A11=0,"",'컨펌1-A'!G11)</f>
        <v>46280</v>
      </c>
      <c r="H11" s="168" t="s">
        <v>84</v>
      </c>
      <c r="I11" s="168" t="str">
        <f ca="1">'컨펌1-A'!I11</f>
        <v>KSFC</v>
      </c>
      <c r="J11" s="139" t="s">
        <v>62</v>
      </c>
      <c r="K11" s="181" t="s">
        <v>85</v>
      </c>
      <c r="L11" s="214" t="s">
        <v>86</v>
      </c>
      <c r="M11" s="215" t="s">
        <v>70</v>
      </c>
      <c r="N11" s="216" t="s">
        <v>71</v>
      </c>
      <c r="O11" s="215" t="s">
        <v>87</v>
      </c>
      <c r="P11" s="187"/>
    </row>
    <row r="12" spans="1:17" ht="17.25" customHeight="1">
      <c r="A12" s="169">
        <f>IF('컨펌1-A'!$A12=0,"",'컨펌1-A'!A12)</f>
        <v>1849</v>
      </c>
      <c r="B12" s="170" t="str">
        <f>IF('컨펌1-A'!$A12=0,"",'컨펌1-A'!B12)</f>
        <v>USD</v>
      </c>
      <c r="C12" s="171">
        <f>IF('컨펌1-A'!$A12=0,"",'컨펌1-A'!C12)</f>
        <v>150000</v>
      </c>
      <c r="D12" s="172">
        <f>IF('컨펌1-A'!$A12=0,"",'컨펌1-A'!D12)</f>
        <v>1500</v>
      </c>
      <c r="E12" s="169" t="str">
        <f>IF('컨펌1-A'!$A12=0,"",'컨펌1-A'!E12)</f>
        <v>KRW</v>
      </c>
      <c r="F12" s="171">
        <f>IF('컨펌1-A'!$A12=0,"",'컨펌1-A'!F12)</f>
        <v>225000000</v>
      </c>
      <c r="G12" s="173">
        <f>IF('컨펌1-A'!$A12=0,"",'컨펌1-A'!G12)</f>
        <v>46280</v>
      </c>
      <c r="H12" s="168" t="s">
        <v>84</v>
      </c>
      <c r="I12" s="168" t="str">
        <f ca="1">'컨펌1-A'!I12</f>
        <v>KB</v>
      </c>
      <c r="J12" s="168" t="s">
        <v>40</v>
      </c>
      <c r="K12" s="181"/>
      <c r="L12" s="217"/>
      <c r="M12" s="218"/>
      <c r="N12" s="219">
        <f>M12-L12</f>
        <v>0</v>
      </c>
      <c r="O12" s="220"/>
    </row>
    <row r="13" spans="1:17" ht="17.25" customHeight="1">
      <c r="A13" s="169" t="str">
        <f>IF('컨펌1-A'!$A13=0,"",'컨펌1-A'!A13)</f>
        <v>FB20</v>
      </c>
      <c r="B13" s="170" t="str">
        <f>IF('컨펌1-A'!$A13=0,"",'컨펌1-A'!B13)</f>
        <v>KRW</v>
      </c>
      <c r="C13" s="171">
        <f>IF('컨펌1-A'!$A13=0,"",'컨펌1-A'!C13)</f>
        <v>0</v>
      </c>
      <c r="D13" s="172">
        <f>IF('컨펌1-A'!$A13=0,"",'컨펌1-A'!D13)</f>
        <v>0</v>
      </c>
      <c r="E13" s="169" t="str">
        <f>IF('컨펌1-A'!$A13=0,"",'컨펌1-A'!E13)</f>
        <v>KRW</v>
      </c>
      <c r="F13" s="171">
        <f>IF('컨펌1-A'!$A13=0,"",'컨펌1-A'!F13)</f>
        <v>0</v>
      </c>
      <c r="G13" s="173">
        <f>IF('컨펌1-A'!$A13=0,"",'컨펌1-A'!G13)</f>
        <v>0</v>
      </c>
      <c r="H13" s="168" t="s">
        <v>40</v>
      </c>
      <c r="I13" s="168" t="str">
        <f ca="1">'컨펌1-A'!I13</f>
        <v>HSBC</v>
      </c>
      <c r="J13" s="168" t="s">
        <v>61</v>
      </c>
      <c r="K13" s="181"/>
      <c r="L13" s="215" t="s">
        <v>73</v>
      </c>
      <c r="M13" s="215"/>
      <c r="N13" s="221"/>
      <c r="O13" s="215"/>
    </row>
    <row r="14" spans="1:17" ht="18" customHeight="1">
      <c r="A14" s="169" t="str">
        <f>IF('컨펌1-A'!$A14=0,"",'컨펌1-A'!A14)</f>
        <v/>
      </c>
      <c r="B14" s="170" t="str">
        <f>IF('컨펌1-A'!$A14=0,"",'컨펌1-A'!B14)</f>
        <v/>
      </c>
      <c r="C14" s="171" t="str">
        <f>IF('컨펌1-A'!$A14=0,"",'컨펌1-A'!C14)</f>
        <v/>
      </c>
      <c r="D14" s="172" t="str">
        <f>IF('컨펌1-A'!$A14=0,"",'컨펌1-A'!D14)</f>
        <v/>
      </c>
      <c r="E14" s="169" t="str">
        <f>IF('컨펌1-A'!$A14=0,"",'컨펌1-A'!E14)</f>
        <v/>
      </c>
      <c r="F14" s="171" t="str">
        <f>IF('컨펌1-A'!$A14=0,"",'컨펌1-A'!F14)</f>
        <v/>
      </c>
      <c r="G14" s="173" t="str">
        <f>IF('컨펌1-A'!$A14=0,"",'컨펌1-A'!G14)</f>
        <v/>
      </c>
      <c r="H14" s="168"/>
      <c r="I14" s="168" t="str">
        <f ca="1">'컨펌1-A'!I14</f>
        <v/>
      </c>
      <c r="J14" s="168" t="s">
        <v>63</v>
      </c>
      <c r="K14" s="181"/>
      <c r="L14" s="222">
        <f>ROUNDDOWN((O12*N12),0)</f>
        <v>0</v>
      </c>
      <c r="M14" s="223"/>
      <c r="N14" s="224"/>
      <c r="O14" s="223"/>
    </row>
    <row r="15" spans="1:17" ht="17.25" customHeight="1">
      <c r="A15" s="169" t="str">
        <f>IF('컨펌1-A'!$A15=0,"",'컨펌1-A'!A15)</f>
        <v/>
      </c>
      <c r="B15" s="170" t="str">
        <f>IF('컨펌1-A'!$A15=0,"",'컨펌1-A'!B15)</f>
        <v/>
      </c>
      <c r="C15" s="171" t="str">
        <f>IF('컨펌1-A'!$A15=0,"",'컨펌1-A'!C15)</f>
        <v/>
      </c>
      <c r="D15" s="172" t="str">
        <f>IF('컨펌1-A'!$A15=0,"",'컨펌1-A'!D15)</f>
        <v/>
      </c>
      <c r="E15" s="169" t="str">
        <f>IF('컨펌1-A'!$A15=0,"",'컨펌1-A'!E15)</f>
        <v/>
      </c>
      <c r="F15" s="171" t="str">
        <f>IF('컨펌1-A'!$A15=0,"",'컨펌1-A'!F15)</f>
        <v/>
      </c>
      <c r="G15" s="173" t="str">
        <f>IF('컨펌1-A'!$A15=0,"",'컨펌1-A'!G15)</f>
        <v/>
      </c>
      <c r="H15" s="168" t="s">
        <v>84</v>
      </c>
      <c r="I15" s="168" t="str">
        <f ca="1">'컨펌1-A'!I15</f>
        <v/>
      </c>
      <c r="J15" s="168" t="s">
        <v>84</v>
      </c>
      <c r="K15" s="181" t="s">
        <v>88</v>
      </c>
      <c r="L15" s="225" t="s">
        <v>86</v>
      </c>
      <c r="M15" s="186" t="s">
        <v>70</v>
      </c>
      <c r="N15" s="226" t="s">
        <v>71</v>
      </c>
      <c r="O15" s="186" t="s">
        <v>87</v>
      </c>
    </row>
    <row r="16" spans="1:17" ht="17.25" customHeight="1">
      <c r="A16" s="169" t="str">
        <f>IF('컨펌1-A'!$A16=0,"",'컨펌1-A'!A16)</f>
        <v/>
      </c>
      <c r="B16" s="170" t="str">
        <f>IF('컨펌1-A'!$A16=0,"",'컨펌1-A'!B16)</f>
        <v/>
      </c>
      <c r="C16" s="171" t="str">
        <f>IF('컨펌1-A'!$A16=0,"",'컨펌1-A'!C16)</f>
        <v/>
      </c>
      <c r="D16" s="172" t="str">
        <f>IF('컨펌1-A'!$A16=0,"",'컨펌1-A'!D16)</f>
        <v/>
      </c>
      <c r="E16" s="169" t="str">
        <f>IF('컨펌1-A'!$A16=0,"",'컨펌1-A'!E16)</f>
        <v/>
      </c>
      <c r="F16" s="171" t="str">
        <f>IF('컨펌1-A'!$A16=0,"",'컨펌1-A'!F16)</f>
        <v/>
      </c>
      <c r="G16" s="173" t="str">
        <f>IF('컨펌1-A'!$A16=0,"",'컨펌1-A'!G16)</f>
        <v/>
      </c>
      <c r="H16" s="168" t="s">
        <v>84</v>
      </c>
      <c r="I16" s="168" t="str">
        <f ca="1">'컨펌1-A'!I16</f>
        <v/>
      </c>
      <c r="K16" s="181"/>
      <c r="L16" s="227"/>
      <c r="M16" s="228"/>
      <c r="N16" s="229">
        <f>M16-L16</f>
        <v>0</v>
      </c>
      <c r="O16" s="230"/>
    </row>
    <row r="17" spans="1:15" ht="17.25" customHeight="1">
      <c r="A17" s="169" t="str">
        <f>IF('컨펌1-A'!$A17=0,"",'컨펌1-A'!A17)</f>
        <v/>
      </c>
      <c r="B17" s="170" t="str">
        <f>IF('컨펌1-A'!$A17=0,"",'컨펌1-A'!B17)</f>
        <v/>
      </c>
      <c r="C17" s="171" t="str">
        <f>IF('컨펌1-A'!$A17=0,"",'컨펌1-A'!C17)</f>
        <v/>
      </c>
      <c r="D17" s="172" t="str">
        <f>IF('컨펌1-A'!$A17=0,"",'컨펌1-A'!D17)</f>
        <v/>
      </c>
      <c r="E17" s="169" t="str">
        <f>IF('컨펌1-A'!$A17=0,"",'컨펌1-A'!E17)</f>
        <v/>
      </c>
      <c r="F17" s="171" t="str">
        <f>IF('컨펌1-A'!$A17=0,"",'컨펌1-A'!F17)</f>
        <v/>
      </c>
      <c r="G17" s="173" t="str">
        <f>IF('컨펌1-A'!$A17=0,"",'컨펌1-A'!G17)</f>
        <v/>
      </c>
      <c r="H17" s="168" t="s">
        <v>40</v>
      </c>
      <c r="I17" s="168" t="str">
        <f ca="1">'컨펌1-A'!I17</f>
        <v/>
      </c>
      <c r="K17" s="181"/>
      <c r="L17" s="186" t="s">
        <v>73</v>
      </c>
      <c r="M17" s="186"/>
      <c r="N17" s="231"/>
      <c r="O17" s="186"/>
    </row>
    <row r="18" spans="1:15" ht="18" customHeight="1">
      <c r="A18" s="169" t="str">
        <f>IF('컨펌1-A'!$A18=0,"",'컨펌1-A'!A18)</f>
        <v/>
      </c>
      <c r="B18" s="170" t="str">
        <f>IF('컨펌1-A'!$A18=0,"",'컨펌1-A'!B18)</f>
        <v/>
      </c>
      <c r="C18" s="171" t="str">
        <f>IF('컨펌1-A'!$A18=0,"",'컨펌1-A'!C18)</f>
        <v/>
      </c>
      <c r="D18" s="172" t="str">
        <f>IF('컨펌1-A'!$A18=0,"",'컨펌1-A'!D18)</f>
        <v/>
      </c>
      <c r="E18" s="169" t="str">
        <f>IF('컨펌1-A'!$A18=0,"",'컨펌1-A'!E18)</f>
        <v/>
      </c>
      <c r="F18" s="171" t="str">
        <f>IF('컨펌1-A'!$A18=0,"",'컨펌1-A'!F18)</f>
        <v/>
      </c>
      <c r="G18" s="173" t="str">
        <f>IF('컨펌1-A'!$A18=0,"",'컨펌1-A'!G18)</f>
        <v/>
      </c>
      <c r="H18" s="169"/>
      <c r="I18" s="168" t="str">
        <f ca="1">'컨펌1-A'!I18</f>
        <v/>
      </c>
      <c r="K18" s="181"/>
      <c r="L18" s="191">
        <f>ROUNDDOWN((O16*N16),0)</f>
        <v>0</v>
      </c>
      <c r="N18" s="232"/>
    </row>
    <row r="19" spans="1:15" ht="17.25" customHeight="1">
      <c r="A19" s="169" t="str">
        <f>IF('컨펌1-A'!$A19=0,"",'컨펌1-A'!A19)</f>
        <v/>
      </c>
      <c r="B19" s="170" t="str">
        <f>IF('컨펌1-A'!$A19=0,"",'컨펌1-A'!B19)</f>
        <v/>
      </c>
      <c r="C19" s="171" t="str">
        <f>IF('컨펌1-A'!$A19=0,"",'컨펌1-A'!C19)</f>
        <v/>
      </c>
      <c r="D19" s="172" t="str">
        <f>IF('컨펌1-A'!$A19=0,"",'컨펌1-A'!D19)</f>
        <v/>
      </c>
      <c r="E19" s="169" t="str">
        <f>IF('컨펌1-A'!$A19=0,"",'컨펌1-A'!E19)</f>
        <v/>
      </c>
      <c r="F19" s="171" t="str">
        <f>IF('컨펌1-A'!$A19=0,"",'컨펌1-A'!F19)</f>
        <v/>
      </c>
      <c r="G19" s="173" t="str">
        <f>IF('컨펌1-A'!$A19=0,"",'컨펌1-A'!G19)</f>
        <v/>
      </c>
      <c r="H19" s="168" t="s">
        <v>84</v>
      </c>
      <c r="I19" s="168" t="str">
        <f ca="1">'컨펌1-A'!I19</f>
        <v/>
      </c>
      <c r="K19" s="181" t="s">
        <v>89</v>
      </c>
      <c r="L19" s="214" t="s">
        <v>86</v>
      </c>
      <c r="M19" s="215" t="s">
        <v>70</v>
      </c>
      <c r="N19" s="233" t="s">
        <v>71</v>
      </c>
      <c r="O19" s="215" t="s">
        <v>87</v>
      </c>
    </row>
    <row r="20" spans="1:15" ht="17.25" customHeight="1">
      <c r="A20" s="169" t="str">
        <f>IF('컨펌1-A'!$A20=0,"",'컨펌1-A'!A20)</f>
        <v/>
      </c>
      <c r="B20" s="170" t="str">
        <f>IF('컨펌1-A'!$A20=0,"",'컨펌1-A'!B20)</f>
        <v/>
      </c>
      <c r="C20" s="171" t="str">
        <f>IF('컨펌1-A'!$A20=0,"",'컨펌1-A'!C20)</f>
        <v/>
      </c>
      <c r="D20" s="172" t="str">
        <f>IF('컨펌1-A'!$A20=0,"",'컨펌1-A'!D20)</f>
        <v/>
      </c>
      <c r="E20" s="169" t="str">
        <f>IF('컨펌1-A'!$A20=0,"",'컨펌1-A'!E20)</f>
        <v/>
      </c>
      <c r="F20" s="171" t="str">
        <f>IF('컨펌1-A'!$A20=0,"",'컨펌1-A'!F20)</f>
        <v/>
      </c>
      <c r="G20" s="173" t="str">
        <f>IF('컨펌1-A'!$A20=0,"",'컨펌1-A'!G20)</f>
        <v/>
      </c>
      <c r="H20" s="168" t="s">
        <v>84</v>
      </c>
      <c r="I20" s="168" t="str">
        <f ca="1">'컨펌1-A'!I20</f>
        <v/>
      </c>
      <c r="K20" s="181"/>
      <c r="L20" s="217"/>
      <c r="M20" s="218"/>
      <c r="N20" s="219">
        <f>M20-L20</f>
        <v>0</v>
      </c>
      <c r="O20" s="220">
        <v>2500000</v>
      </c>
    </row>
    <row r="21" spans="1:15" ht="17.25" customHeight="1">
      <c r="A21" s="169" t="str">
        <f>IF('컨펌1-A'!$A21=0,"",'컨펌1-A'!A21)</f>
        <v/>
      </c>
      <c r="B21" s="170" t="str">
        <f>IF('컨펌1-A'!$A21=0,"",'컨펌1-A'!B21)</f>
        <v/>
      </c>
      <c r="C21" s="171" t="str">
        <f>IF('컨펌1-A'!$A21=0,"",'컨펌1-A'!C21)</f>
        <v/>
      </c>
      <c r="D21" s="172" t="str">
        <f>IF('컨펌1-A'!$A21=0,"",'컨펌1-A'!D21)</f>
        <v/>
      </c>
      <c r="E21" s="169" t="str">
        <f>IF('컨펌1-A'!$A21=0,"",'컨펌1-A'!E21)</f>
        <v/>
      </c>
      <c r="F21" s="171" t="str">
        <f>IF('컨펌1-A'!$A21=0,"",'컨펌1-A'!F21)</f>
        <v/>
      </c>
      <c r="G21" s="173" t="str">
        <f>IF('컨펌1-A'!$A21=0,"",'컨펌1-A'!G21)</f>
        <v/>
      </c>
      <c r="H21" s="168" t="s">
        <v>40</v>
      </c>
      <c r="I21" s="168" t="str">
        <f ca="1">'컨펌1-A'!I21</f>
        <v/>
      </c>
      <c r="K21" s="181"/>
      <c r="L21" s="215" t="s">
        <v>73</v>
      </c>
      <c r="M21" s="215"/>
      <c r="N21" s="221"/>
      <c r="O21" s="215"/>
    </row>
    <row r="22" spans="1:15" ht="18" customHeight="1">
      <c r="A22" s="169" t="e">
        <f>IF('컨펌1-A'!$A22=0,"",'컨펌1-A'!A22)</f>
        <v>#REF!</v>
      </c>
      <c r="B22" s="170" t="e">
        <f>IF('컨펌1-A'!$A22=0,"",'컨펌1-A'!B22)</f>
        <v>#REF!</v>
      </c>
      <c r="C22" s="171" t="e">
        <f>IF('컨펌1-A'!$A22=0,"",'컨펌1-A'!C22)</f>
        <v>#REF!</v>
      </c>
      <c r="D22" s="172" t="e">
        <f>IF('컨펌1-A'!$A22=0,"",'컨펌1-A'!D22)</f>
        <v>#REF!</v>
      </c>
      <c r="E22" s="169" t="e">
        <f>IF('컨펌1-A'!$A22=0,"",'컨펌1-A'!E22)</f>
        <v>#REF!</v>
      </c>
      <c r="F22" s="171" t="e">
        <f>IF('컨펌1-A'!$A22=0,"",'컨펌1-A'!F22)</f>
        <v>#REF!</v>
      </c>
      <c r="G22" s="173" t="e">
        <f>IF('컨펌1-A'!$A22=0,"",'컨펌1-A'!G22)</f>
        <v>#REF!</v>
      </c>
      <c r="H22" s="169"/>
      <c r="I22" s="168" t="e">
        <f>'컨펌1-A'!I22</f>
        <v>#REF!</v>
      </c>
      <c r="K22" s="181"/>
      <c r="L22" s="222">
        <f>ROUNDDOWN((O20*N20),0)</f>
        <v>0</v>
      </c>
      <c r="M22" s="223"/>
      <c r="N22" s="224"/>
      <c r="O22" s="223"/>
    </row>
    <row r="23" spans="1:15" ht="17.25" customHeight="1">
      <c r="A23" s="358" t="s">
        <v>90</v>
      </c>
      <c r="B23" s="358"/>
      <c r="C23" s="358"/>
      <c r="D23" s="358"/>
      <c r="E23" s="358"/>
      <c r="F23" s="358"/>
      <c r="G23" s="358"/>
      <c r="H23" s="358"/>
      <c r="I23" s="142"/>
      <c r="K23" s="181" t="s">
        <v>91</v>
      </c>
      <c r="L23" s="225" t="s">
        <v>86</v>
      </c>
      <c r="M23" s="186" t="s">
        <v>70</v>
      </c>
      <c r="N23" s="226" t="s">
        <v>71</v>
      </c>
      <c r="O23" s="186" t="s">
        <v>87</v>
      </c>
    </row>
    <row r="24" spans="1:15" ht="33" customHeight="1">
      <c r="A24" s="234" t="s">
        <v>92</v>
      </c>
      <c r="B24" s="234" t="s">
        <v>49</v>
      </c>
      <c r="C24" s="235" t="s">
        <v>93</v>
      </c>
      <c r="D24" s="236" t="s">
        <v>69</v>
      </c>
      <c r="E24" s="237" t="s">
        <v>94</v>
      </c>
      <c r="F24" s="235" t="s">
        <v>95</v>
      </c>
      <c r="G24" s="238" t="s">
        <v>96</v>
      </c>
      <c r="H24" s="239" t="s">
        <v>97</v>
      </c>
      <c r="I24" s="240" t="s">
        <v>98</v>
      </c>
      <c r="K24" s="181"/>
      <c r="L24" s="227"/>
      <c r="M24" s="228"/>
      <c r="N24" s="229">
        <f>M24-L24</f>
        <v>0</v>
      </c>
      <c r="O24" s="230">
        <v>2500000</v>
      </c>
    </row>
    <row r="25" spans="1:15" ht="17.25" customHeight="1">
      <c r="A25" s="241" t="s">
        <v>99</v>
      </c>
      <c r="B25" s="241" t="s">
        <v>100</v>
      </c>
      <c r="C25" s="242">
        <v>78040000</v>
      </c>
      <c r="D25" s="243">
        <v>189.45</v>
      </c>
      <c r="E25" s="244">
        <v>-0.25</v>
      </c>
      <c r="F25" s="242">
        <v>23400000</v>
      </c>
      <c r="G25" s="243">
        <f>D25+E25</f>
        <v>189.2</v>
      </c>
      <c r="H25" s="245">
        <f>C25-F25</f>
        <v>54640000</v>
      </c>
      <c r="I25" s="240"/>
      <c r="K25" s="181"/>
      <c r="L25" s="186" t="s">
        <v>73</v>
      </c>
      <c r="M25" s="186"/>
      <c r="N25" s="231"/>
      <c r="O25" s="186"/>
    </row>
    <row r="26" spans="1:15" ht="18" customHeight="1">
      <c r="A26" s="241"/>
      <c r="B26" s="241"/>
      <c r="C26" s="242"/>
      <c r="D26" s="243"/>
      <c r="E26" s="244"/>
      <c r="F26" s="242"/>
      <c r="G26" s="243"/>
      <c r="H26" s="245"/>
      <c r="I26" s="240"/>
      <c r="K26" s="181"/>
      <c r="L26" s="191">
        <f>ROUNDDOWN((O24*N24),0)</f>
        <v>0</v>
      </c>
      <c r="N26" s="246"/>
    </row>
    <row r="27" spans="1:15" ht="17.25" customHeight="1">
      <c r="A27" s="241"/>
      <c r="B27" s="241"/>
      <c r="C27" s="242"/>
      <c r="D27" s="243"/>
      <c r="E27" s="244"/>
      <c r="F27" s="242"/>
      <c r="G27" s="243"/>
      <c r="H27" s="245"/>
      <c r="I27" s="240"/>
    </row>
    <row r="28" spans="1:15" ht="18" customHeight="1">
      <c r="A28" s="247"/>
      <c r="B28" s="247"/>
      <c r="C28" s="248"/>
      <c r="D28" s="243"/>
      <c r="E28" s="244"/>
      <c r="F28" s="242"/>
      <c r="G28" s="243"/>
      <c r="H28" s="245"/>
      <c r="I28" s="240"/>
    </row>
    <row r="29" spans="1:15" ht="17.25" customHeight="1">
      <c r="A29" s="359">
        <f>G11</f>
        <v>46280</v>
      </c>
      <c r="B29" s="359"/>
      <c r="C29" s="359"/>
      <c r="D29" s="249"/>
      <c r="E29" s="250"/>
      <c r="F29" s="251"/>
      <c r="G29" s="251"/>
      <c r="H29" s="252"/>
    </row>
    <row r="30" spans="1:15" ht="17.25" customHeight="1">
      <c r="A30" s="253" t="s">
        <v>74</v>
      </c>
      <c r="B30" s="254" t="s">
        <v>75</v>
      </c>
      <c r="C30" s="255" t="s">
        <v>76</v>
      </c>
      <c r="D30" s="256"/>
      <c r="E30" s="257"/>
      <c r="F30" s="258"/>
      <c r="G30" s="258"/>
      <c r="H30" s="259"/>
      <c r="J30" s="168" t="s">
        <v>101</v>
      </c>
    </row>
    <row r="31" spans="1:15" ht="17.25" customHeight="1">
      <c r="A31" s="260" t="str">
        <f>IF(A25=0,"",A25)</f>
        <v>06K78</v>
      </c>
      <c r="B31" s="168"/>
      <c r="C31" s="261">
        <f>IF(A25=0,"",L14)</f>
        <v>0</v>
      </c>
      <c r="D31" s="256"/>
      <c r="E31" s="257"/>
      <c r="F31" s="258"/>
      <c r="G31" s="258"/>
      <c r="H31" s="259"/>
    </row>
    <row r="32" spans="1:15" ht="17.25" customHeight="1">
      <c r="A32" s="260" t="str">
        <f>IF(A26=0,"",A26)</f>
        <v/>
      </c>
      <c r="B32" s="262"/>
      <c r="C32" s="261" t="str">
        <f>IF(A26=0,"",L18)</f>
        <v/>
      </c>
      <c r="D32" s="256"/>
      <c r="E32" s="257"/>
      <c r="F32" s="258"/>
      <c r="G32" s="258"/>
      <c r="H32" s="259"/>
    </row>
    <row r="33" spans="1:8" ht="17.25" customHeight="1">
      <c r="A33" s="260" t="str">
        <f>IF(A27=0,"",A27)</f>
        <v/>
      </c>
      <c r="B33" s="262"/>
      <c r="C33" s="261" t="str">
        <f>IF(A27=0,"",L22)</f>
        <v/>
      </c>
      <c r="D33" s="256"/>
      <c r="E33" s="257"/>
      <c r="F33" s="258"/>
      <c r="G33" s="258"/>
      <c r="H33" s="259"/>
    </row>
    <row r="34" spans="1:8" ht="18" customHeight="1">
      <c r="A34" s="263" t="str">
        <f>IF(A28=0,"",A28)</f>
        <v/>
      </c>
      <c r="B34" s="264"/>
      <c r="C34" s="265" t="str">
        <f>IF(A28=0,"",L26)</f>
        <v/>
      </c>
      <c r="D34" s="256"/>
      <c r="E34" s="257"/>
      <c r="F34" s="258"/>
      <c r="G34" s="258"/>
      <c r="H34" s="259"/>
    </row>
    <row r="35" spans="1:8" ht="16.5" customHeight="1">
      <c r="A35" s="174" t="s">
        <v>64</v>
      </c>
      <c r="B35" s="175"/>
      <c r="C35" s="176"/>
      <c r="D35" s="177"/>
      <c r="E35" s="141"/>
      <c r="F35" s="178"/>
      <c r="G35" s="178"/>
      <c r="H35" s="179"/>
    </row>
    <row r="36" spans="1:8" ht="15.75" customHeight="1">
      <c r="A36" s="180" t="str">
        <f>"* 위 CONFIRMATION으로 해당은행에 대한 송금신청을 대신합니다(수탁은행:"&amp;I24&amp;")"</f>
        <v>* 위 CONFIRMATION으로 해당은행에 대한 송금신청을 대신합니다(수탁은행:KB)</v>
      </c>
      <c r="F36" s="181"/>
    </row>
    <row r="38" spans="1:8" ht="15.75" customHeight="1">
      <c r="A38" s="186" t="e">
        <f>C5</f>
        <v>#VALUE!</v>
      </c>
      <c r="E38" s="139" t="s">
        <v>32</v>
      </c>
    </row>
    <row r="42" spans="1:8" ht="15.75" customHeight="1">
      <c r="A42" s="154"/>
      <c r="B42" s="154"/>
      <c r="E42" s="154"/>
      <c r="F42" s="154"/>
    </row>
    <row r="43" spans="1:8" ht="15.75" customHeight="1">
      <c r="A43" s="139" t="s">
        <v>51</v>
      </c>
      <c r="E43" s="139" t="s">
        <v>51</v>
      </c>
    </row>
    <row r="46" spans="1:8" ht="19.5" customHeight="1">
      <c r="A46" s="184" t="s">
        <v>65</v>
      </c>
    </row>
  </sheetData>
  <mergeCells count="10">
    <mergeCell ref="I9:I10"/>
    <mergeCell ref="A23:H23"/>
    <mergeCell ref="A29:C29"/>
    <mergeCell ref="A2:H2"/>
    <mergeCell ref="A9:A10"/>
    <mergeCell ref="B9:C9"/>
    <mergeCell ref="D9:D10"/>
    <mergeCell ref="E9:F9"/>
    <mergeCell ref="G9:G10"/>
    <mergeCell ref="H9:H10"/>
  </mergeCells>
  <phoneticPr fontId="9" type="noConversion"/>
  <printOptions horizontalCentered="1"/>
  <pageMargins left="0.74791666666666701" right="0.74791666666666701" top="1.22013888888889" bottom="0.98402777777777795" header="0.70833333333333304" footer="0.511811023622047"/>
  <pageSetup paperSize="9" orientation="portrait" horizontalDpi="300" verticalDpi="300"/>
  <headerFooter>
    <oddHeader>&amp;R&amp;D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1">
              <controlPr defaultSize="0" autoPict="0" macro="Module2.uniquejointocell">
                <anchor moveWithCells="1" sizeWithCells="1">
                  <from>
                    <xdr:col>9</xdr:col>
                    <xdr:colOff>6350</xdr:colOff>
                    <xdr:row>7</xdr:row>
                    <xdr:rowOff>101600</xdr:rowOff>
                  </from>
                  <to>
                    <xdr:col>10</xdr:col>
                    <xdr:colOff>184150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18">
              <controlPr defaultSize="0" autoPict="0" macro="Module3.clearunwinding">
                <anchor moveWithCells="1" sizeWithCells="1">
                  <from>
                    <xdr:col>9</xdr:col>
                    <xdr:colOff>19050</xdr:colOff>
                    <xdr:row>5</xdr:row>
                    <xdr:rowOff>82550</xdr:rowOff>
                  </from>
                  <to>
                    <xdr:col>10</xdr:col>
                    <xdr:colOff>184150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4">
              <controlPr defaultSize="0" autoPict="0" macro="Module2.uniquejointocell">
                <anchor moveWithCells="1" sizeWithCells="1">
                  <from>
                    <xdr:col>9</xdr:col>
                    <xdr:colOff>6350</xdr:colOff>
                    <xdr:row>8</xdr:row>
                    <xdr:rowOff>12700</xdr:rowOff>
                  </from>
                  <to>
                    <xdr:col>10</xdr:col>
                    <xdr:colOff>273050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" name="Button 5">
              <controlPr defaultSize="0" autoPict="0" macro="Module3.clearunwinding">
                <anchor moveWithCells="1" sizeWithCells="1">
                  <from>
                    <xdr:col>9</xdr:col>
                    <xdr:colOff>25400</xdr:colOff>
                    <xdr:row>5</xdr:row>
                    <xdr:rowOff>127000</xdr:rowOff>
                  </from>
                  <to>
                    <xdr:col>10</xdr:col>
                    <xdr:colOff>273050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autoFill="0" autoPict="0" macro="Module2.uniquejointocell" altText="수탁은행">
                <anchor moveWithCells="1">
                  <from>
                    <xdr:col>9</xdr:col>
                    <xdr:colOff>6350</xdr:colOff>
                    <xdr:row>7</xdr:row>
                    <xdr:rowOff>152400</xdr:rowOff>
                  </from>
                  <to>
                    <xdr:col>10</xdr:col>
                    <xdr:colOff>273050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8" name="Button 7">
              <controlPr defaultSize="0" autoFill="0" autoPict="0" macro="Module3.clearunwinding" altText="초기화">
                <anchor moveWithCells="1">
                  <from>
                    <xdr:col>9</xdr:col>
                    <xdr:colOff>25400</xdr:colOff>
                    <xdr:row>5</xdr:row>
                    <xdr:rowOff>127000</xdr:rowOff>
                  </from>
                  <to>
                    <xdr:col>10</xdr:col>
                    <xdr:colOff>273050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9" name="Button 8">
              <controlPr defaultSize="0" autoFill="0" autoPict="0" macro="Module2.uniquejointocell" altText="수탁은행">
                <anchor moveWithCells="1">
                  <from>
                    <xdr:col>9</xdr:col>
                    <xdr:colOff>6350</xdr:colOff>
                    <xdr:row>8</xdr:row>
                    <xdr:rowOff>19050</xdr:rowOff>
                  </from>
                  <to>
                    <xdr:col>10</xdr:col>
                    <xdr:colOff>406400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Button 9">
              <controlPr defaultSize="0" autoFill="0" autoPict="0" macro="Module3.clearunwinding" altText="초기화">
                <anchor moveWithCells="1">
                  <from>
                    <xdr:col>9</xdr:col>
                    <xdr:colOff>38100</xdr:colOff>
                    <xdr:row>5</xdr:row>
                    <xdr:rowOff>190500</xdr:rowOff>
                  </from>
                  <to>
                    <xdr:col>10</xdr:col>
                    <xdr:colOff>412750</xdr:colOff>
                    <xdr:row>7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2:IW30"/>
  <sheetViews>
    <sheetView showGridLines="0" zoomScaleNormal="100" workbookViewId="0">
      <selection activeCell="I21" sqref="I21"/>
    </sheetView>
  </sheetViews>
  <sheetFormatPr defaultColWidth="8.9140625" defaultRowHeight="15.5"/>
  <cols>
    <col min="1" max="1" width="9.58203125" style="139" customWidth="1"/>
    <col min="2" max="2" width="7.33203125" style="139" customWidth="1"/>
    <col min="3" max="3" width="15.75" style="139" customWidth="1"/>
    <col min="4" max="4" width="9.58203125" style="139" customWidth="1"/>
    <col min="5" max="5" width="6.33203125" style="139" customWidth="1"/>
    <col min="6" max="6" width="15.75" style="139" customWidth="1"/>
    <col min="7" max="7" width="11.33203125" style="139" customWidth="1"/>
    <col min="8" max="8" width="12.1640625" style="139" customWidth="1"/>
    <col min="9" max="9" width="12.33203125" style="139" customWidth="1"/>
    <col min="10" max="10" width="11.4140625" style="139" customWidth="1"/>
    <col min="11" max="12" width="8.9140625" style="139"/>
    <col min="13" max="13" width="9.08203125" style="139" customWidth="1"/>
    <col min="14" max="257" width="8.9140625" style="139"/>
  </cols>
  <sheetData>
    <row r="2" spans="1:10" ht="20.25" customHeight="1">
      <c r="A2" s="354" t="s">
        <v>102</v>
      </c>
      <c r="B2" s="354"/>
      <c r="C2" s="354"/>
      <c r="D2" s="354"/>
      <c r="E2" s="354"/>
      <c r="F2" s="354"/>
      <c r="G2" s="354"/>
      <c r="H2" s="354"/>
      <c r="I2" s="354"/>
      <c r="J2" s="175"/>
    </row>
    <row r="3" spans="1:10" ht="15.75" customHeight="1">
      <c r="A3" s="141"/>
    </row>
    <row r="4" spans="1:10" ht="16.5" customHeight="1">
      <c r="A4" s="143" t="s">
        <v>34</v>
      </c>
      <c r="B4" s="144"/>
      <c r="C4" s="144" t="s">
        <v>32</v>
      </c>
      <c r="D4" s="145"/>
      <c r="E4" s="145"/>
      <c r="F4" s="145"/>
      <c r="G4" s="145"/>
      <c r="H4" s="145"/>
      <c r="I4" s="146"/>
    </row>
    <row r="5" spans="1:10" ht="16.5" customHeight="1">
      <c r="A5" s="147" t="s">
        <v>35</v>
      </c>
      <c r="B5" s="148"/>
      <c r="C5" s="148" t="s">
        <v>103</v>
      </c>
      <c r="I5" s="150"/>
    </row>
    <row r="6" spans="1:10" ht="16.5" customHeight="1">
      <c r="A6" s="147" t="s">
        <v>36</v>
      </c>
      <c r="B6" s="148"/>
      <c r="C6" s="148" t="s">
        <v>32</v>
      </c>
      <c r="I6" s="150"/>
    </row>
    <row r="7" spans="1:10" ht="16.5" customHeight="1">
      <c r="A7" s="151" t="s">
        <v>41</v>
      </c>
      <c r="B7" s="152"/>
      <c r="C7" s="153" t="s">
        <v>42</v>
      </c>
      <c r="D7" s="154"/>
      <c r="E7" s="154"/>
      <c r="F7" s="154"/>
      <c r="G7" s="154"/>
      <c r="H7" s="154"/>
      <c r="I7" s="155"/>
    </row>
    <row r="8" spans="1:10" ht="15.75" customHeight="1">
      <c r="A8" s="156"/>
      <c r="B8" s="156"/>
      <c r="C8" s="156"/>
      <c r="D8" s="156"/>
      <c r="E8" s="156"/>
      <c r="F8" s="157"/>
      <c r="G8" s="157" t="s">
        <v>60</v>
      </c>
      <c r="H8" s="363">
        <f ca="1">TODAY()</f>
        <v>46221</v>
      </c>
      <c r="I8" s="363"/>
    </row>
    <row r="9" spans="1:10" ht="15.75" customHeight="1">
      <c r="A9" s="353" t="s">
        <v>43</v>
      </c>
      <c r="B9" s="364" t="s">
        <v>104</v>
      </c>
      <c r="C9" s="364"/>
      <c r="D9" s="353" t="s">
        <v>44</v>
      </c>
      <c r="E9" s="365" t="s">
        <v>105</v>
      </c>
      <c r="F9" s="365"/>
      <c r="G9" s="353" t="s">
        <v>45</v>
      </c>
      <c r="H9" s="353" t="s">
        <v>46</v>
      </c>
      <c r="I9" s="353"/>
    </row>
    <row r="10" spans="1:10" ht="15.75" customHeight="1">
      <c r="A10" s="353"/>
      <c r="B10" s="160" t="s">
        <v>49</v>
      </c>
      <c r="C10" s="160" t="s">
        <v>50</v>
      </c>
      <c r="D10" s="353"/>
      <c r="E10" s="1" t="s">
        <v>49</v>
      </c>
      <c r="F10" s="161" t="s">
        <v>50</v>
      </c>
      <c r="G10" s="353"/>
      <c r="H10" s="353"/>
      <c r="I10" s="353"/>
    </row>
    <row r="11" spans="1:10" ht="17.25" customHeight="1">
      <c r="A11" s="169">
        <f>IF('컨펌1-A'!$A11=0,"",'컨펌1-A'!A11)</f>
        <v>1850</v>
      </c>
      <c r="B11" s="170" t="str">
        <f>IF('컨펌1-A'!$A11=0,"",'컨펌1-A'!B11)</f>
        <v>KRW</v>
      </c>
      <c r="C11" s="266">
        <f>IF('컨펌1-A'!$A11=0,"",'컨펌1-A'!C11)</f>
        <v>150000000</v>
      </c>
      <c r="D11" s="172">
        <f>IF('컨펌1-A'!$A11=0,"",'컨펌1-A'!D11)</f>
        <v>1500</v>
      </c>
      <c r="E11" s="169" t="str">
        <f>IF('컨펌1-A'!$A11=0,"",'컨펌1-A'!E11)</f>
        <v>USD</v>
      </c>
      <c r="F11" s="266">
        <f>IF('컨펌1-A'!$A11=0,"",'컨펌1-A'!F11)</f>
        <v>100000</v>
      </c>
      <c r="G11" s="173">
        <f>IF('컨펌1-A'!$A11=0,"",'컨펌1-A'!G11)</f>
        <v>46280</v>
      </c>
      <c r="H11" s="360" t="s">
        <v>84</v>
      </c>
      <c r="I11" s="360"/>
    </row>
    <row r="12" spans="1:10" ht="17.25" customHeight="1">
      <c r="A12" s="169">
        <f>IF('컨펌1-A'!$A12=0,"",'컨펌1-A'!A12)</f>
        <v>1849</v>
      </c>
      <c r="B12" s="170" t="str">
        <f>IF('컨펌1-A'!$A12=0,"",'컨펌1-A'!B12)</f>
        <v>USD</v>
      </c>
      <c r="C12" s="266">
        <f>IF('컨펌1-A'!$A12=0,"",'컨펌1-A'!C12)</f>
        <v>150000</v>
      </c>
      <c r="D12" s="172">
        <f>IF('컨펌1-A'!$A12=0,"",'컨펌1-A'!D12)</f>
        <v>1500</v>
      </c>
      <c r="E12" s="169" t="str">
        <f>IF('컨펌1-A'!$A12=0,"",'컨펌1-A'!E12)</f>
        <v>KRW</v>
      </c>
      <c r="F12" s="266">
        <f>IF('컨펌1-A'!$A12=0,"",'컨펌1-A'!F12)</f>
        <v>225000000</v>
      </c>
      <c r="G12" s="173">
        <f>IF('컨펌1-A'!$A12=0,"",'컨펌1-A'!G12)</f>
        <v>46280</v>
      </c>
      <c r="H12" s="360" t="s">
        <v>84</v>
      </c>
      <c r="I12" s="360"/>
    </row>
    <row r="13" spans="1:10" ht="17.25" customHeight="1">
      <c r="A13" s="169" t="str">
        <f>IF('컨펌1-A'!$A13=0,"",'컨펌1-A'!A13)</f>
        <v>FB20</v>
      </c>
      <c r="B13" s="170" t="str">
        <f>IF('컨펌1-A'!$A13=0,"",'컨펌1-A'!B13)</f>
        <v>KRW</v>
      </c>
      <c r="C13" s="266">
        <f>IF('컨펌1-A'!$A13=0,"",'컨펌1-A'!C13)</f>
        <v>0</v>
      </c>
      <c r="D13" s="172">
        <f>IF('컨펌1-A'!$A13=0,"",'컨펌1-A'!D13)</f>
        <v>0</v>
      </c>
      <c r="E13" s="169" t="str">
        <f>IF('컨펌1-A'!$A13=0,"",'컨펌1-A'!E13)</f>
        <v>KRW</v>
      </c>
      <c r="F13" s="266">
        <f>IF('컨펌1-A'!$A13=0,"",'컨펌1-A'!F13)</f>
        <v>0</v>
      </c>
      <c r="G13" s="173">
        <f>IF('컨펌1-A'!$A13=0,"",'컨펌1-A'!G13)</f>
        <v>0</v>
      </c>
      <c r="H13" s="360"/>
      <c r="I13" s="360"/>
    </row>
    <row r="14" spans="1:10" ht="18" customHeight="1">
      <c r="A14" s="169" t="str">
        <f>IF('컨펌1-A'!$A14=0,"",'컨펌1-A'!A14)</f>
        <v/>
      </c>
      <c r="B14" s="170" t="str">
        <f>IF('컨펌1-A'!$A14=0,"",'컨펌1-A'!B14)</f>
        <v/>
      </c>
      <c r="C14" s="266" t="str">
        <f>IF('컨펌1-A'!$A14=0,"",'컨펌1-A'!C14)</f>
        <v/>
      </c>
      <c r="D14" s="172" t="str">
        <f>IF('컨펌1-A'!$A14=0,"",'컨펌1-A'!D14)</f>
        <v/>
      </c>
      <c r="E14" s="169" t="str">
        <f>IF('컨펌1-A'!$A14=0,"",'컨펌1-A'!E14)</f>
        <v/>
      </c>
      <c r="F14" s="266" t="str">
        <f>IF('컨펌1-A'!$A14=0,"",'컨펌1-A'!F14)</f>
        <v/>
      </c>
      <c r="G14" s="173" t="str">
        <f>IF('컨펌1-A'!$A14=0,"",'컨펌1-A'!G14)</f>
        <v/>
      </c>
      <c r="H14" s="267"/>
      <c r="I14" s="268"/>
    </row>
    <row r="15" spans="1:10" ht="16.5" customHeight="1">
      <c r="A15" s="361" t="s">
        <v>106</v>
      </c>
      <c r="B15" s="361"/>
      <c r="C15" s="361"/>
      <c r="D15" s="361"/>
      <c r="E15" s="361"/>
      <c r="F15" s="361"/>
      <c r="G15" s="361"/>
      <c r="H15" s="361"/>
      <c r="I15" s="361"/>
    </row>
    <row r="16" spans="1:10" ht="33" customHeight="1">
      <c r="A16" s="269" t="s">
        <v>43</v>
      </c>
      <c r="B16" s="270" t="s">
        <v>49</v>
      </c>
      <c r="C16" s="271" t="s">
        <v>93</v>
      </c>
      <c r="D16" s="272" t="s">
        <v>69</v>
      </c>
      <c r="E16" s="273" t="s">
        <v>107</v>
      </c>
      <c r="F16" s="271" t="s">
        <v>95</v>
      </c>
      <c r="G16" s="274" t="s">
        <v>96</v>
      </c>
      <c r="H16" s="275" t="s">
        <v>97</v>
      </c>
      <c r="I16" s="276" t="s">
        <v>108</v>
      </c>
    </row>
    <row r="17" spans="1:9" ht="17.25" customHeight="1">
      <c r="A17" s="277">
        <f>A11</f>
        <v>1850</v>
      </c>
      <c r="B17" s="278" t="s">
        <v>24</v>
      </c>
      <c r="C17" s="279">
        <v>4011692</v>
      </c>
      <c r="D17" s="280">
        <v>1285.3</v>
      </c>
      <c r="E17" s="281">
        <v>9.6</v>
      </c>
      <c r="F17" s="279">
        <f>F11</f>
        <v>100000</v>
      </c>
      <c r="G17" s="282">
        <f>D17+E17</f>
        <v>1294.8999999999999</v>
      </c>
      <c r="H17" s="283">
        <f>C17-F17</f>
        <v>3911692</v>
      </c>
      <c r="I17" s="284">
        <f>ROUNDDOWN((H17*D17),0)</f>
        <v>5027697727</v>
      </c>
    </row>
    <row r="18" spans="1:9" ht="15" customHeight="1">
      <c r="A18" s="180" t="s">
        <v>109</v>
      </c>
      <c r="I18" s="285"/>
    </row>
    <row r="19" spans="1:9" ht="15" customHeight="1">
      <c r="A19" s="286" t="s">
        <v>110</v>
      </c>
    </row>
    <row r="20" spans="1:9" ht="15.75" customHeight="1">
      <c r="A20" s="180"/>
    </row>
    <row r="22" spans="1:9" ht="15.75" customHeight="1">
      <c r="A22" s="139" t="s">
        <v>111</v>
      </c>
      <c r="E22" s="139" t="s">
        <v>32</v>
      </c>
    </row>
    <row r="23" spans="1:9" ht="15.75" customHeight="1">
      <c r="A23" s="139" t="s">
        <v>112</v>
      </c>
    </row>
    <row r="26" spans="1:9" ht="15.75" customHeight="1">
      <c r="A26" s="154"/>
      <c r="B26" s="154"/>
      <c r="E26" s="154"/>
      <c r="F26" s="154"/>
    </row>
    <row r="27" spans="1:9" ht="15.75" customHeight="1">
      <c r="A27" s="139" t="s">
        <v>51</v>
      </c>
      <c r="E27" s="139" t="s">
        <v>51</v>
      </c>
    </row>
    <row r="30" spans="1:9" ht="19.5" customHeight="1">
      <c r="A30" s="184" t="s">
        <v>113</v>
      </c>
      <c r="F30" s="362"/>
      <c r="G30" s="362"/>
      <c r="H30" s="362"/>
      <c r="I30" s="362"/>
    </row>
  </sheetData>
  <mergeCells count="13">
    <mergeCell ref="A2:I2"/>
    <mergeCell ref="H8:I8"/>
    <mergeCell ref="A9:A10"/>
    <mergeCell ref="B9:C9"/>
    <mergeCell ref="D9:D10"/>
    <mergeCell ref="E9:F9"/>
    <mergeCell ref="G9:G10"/>
    <mergeCell ref="H9:I10"/>
    <mergeCell ref="H11:I11"/>
    <mergeCell ref="H12:I12"/>
    <mergeCell ref="H13:I13"/>
    <mergeCell ref="A15:I15"/>
    <mergeCell ref="F30:I30"/>
  </mergeCells>
  <phoneticPr fontId="9" type="noConversion"/>
  <printOptions horizontalCentered="1"/>
  <pageMargins left="0.74791666666666701" right="0.74791666666666701" top="1.22013888888889" bottom="0.98402777777777795" header="0.70833333333333304" footer="0.511811023622047"/>
  <pageSetup paperSize="9" orientation="portrait" horizontalDpi="300" verticalDpi="300"/>
  <headerFooter>
    <oddHeader>&amp;R&amp;D</oddHead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EAEAEA"/>
  </sheetPr>
  <dimension ref="A2:IW53"/>
  <sheetViews>
    <sheetView zoomScale="90" zoomScaleNormal="90" workbookViewId="0">
      <selection activeCell="I22" sqref="I22"/>
    </sheetView>
  </sheetViews>
  <sheetFormatPr defaultColWidth="8.9140625" defaultRowHeight="15.5"/>
  <cols>
    <col min="1" max="1" width="9.9140625" style="139" customWidth="1"/>
    <col min="2" max="2" width="5.9140625" style="139" customWidth="1"/>
    <col min="3" max="3" width="16.58203125" style="139" customWidth="1"/>
    <col min="4" max="4" width="9.1640625" style="139" customWidth="1"/>
    <col min="5" max="5" width="6.25" style="139" customWidth="1"/>
    <col min="6" max="6" width="16.33203125" style="139" customWidth="1"/>
    <col min="7" max="7" width="9.4140625" style="139" customWidth="1"/>
    <col min="8" max="8" width="9.9140625" style="139" customWidth="1"/>
    <col min="9" max="9" width="8.9140625" style="139"/>
    <col min="10" max="10" width="10.08203125" style="139" customWidth="1"/>
    <col min="11" max="11" width="12.33203125" style="139" customWidth="1"/>
    <col min="12" max="12" width="14.58203125" style="139" customWidth="1"/>
    <col min="13" max="257" width="8.9140625" style="139"/>
  </cols>
  <sheetData>
    <row r="2" spans="1:11" ht="20.25" customHeight="1">
      <c r="A2" s="354" t="s">
        <v>33</v>
      </c>
      <c r="B2" s="354"/>
      <c r="C2" s="354"/>
      <c r="D2" s="354"/>
      <c r="E2" s="354"/>
      <c r="F2" s="354"/>
      <c r="G2" s="354"/>
      <c r="H2" s="175"/>
    </row>
    <row r="3" spans="1:11" ht="15.75" customHeight="1">
      <c r="A3" s="141"/>
    </row>
    <row r="4" spans="1:11" ht="16.5" customHeight="1">
      <c r="A4" s="143" t="s">
        <v>34</v>
      </c>
      <c r="B4" s="144"/>
      <c r="C4" s="144" t="s">
        <v>114</v>
      </c>
      <c r="D4" s="145"/>
      <c r="E4" s="145"/>
      <c r="F4" s="145"/>
      <c r="G4" s="145"/>
      <c r="H4" s="146"/>
    </row>
    <row r="5" spans="1:11" ht="16.5" customHeight="1">
      <c r="A5" s="147" t="s">
        <v>35</v>
      </c>
      <c r="B5" s="148"/>
      <c r="C5" s="148"/>
      <c r="H5" s="150"/>
    </row>
    <row r="6" spans="1:11" ht="16.5" customHeight="1">
      <c r="A6" s="147" t="s">
        <v>39</v>
      </c>
      <c r="B6" s="148"/>
      <c r="C6" s="148" t="s">
        <v>61</v>
      </c>
      <c r="H6" s="150"/>
    </row>
    <row r="7" spans="1:11" ht="16.5" customHeight="1">
      <c r="A7" s="151" t="s">
        <v>41</v>
      </c>
      <c r="B7" s="152"/>
      <c r="C7" s="153" t="s">
        <v>42</v>
      </c>
      <c r="D7" s="154"/>
      <c r="E7" s="154"/>
      <c r="F7" s="154"/>
      <c r="G7" s="154"/>
      <c r="H7" s="155"/>
    </row>
    <row r="8" spans="1:11" ht="16.5" customHeight="1">
      <c r="A8" s="156"/>
      <c r="B8" s="156"/>
      <c r="C8" s="156"/>
      <c r="D8" s="156"/>
      <c r="E8" s="156"/>
      <c r="F8" s="157" t="s">
        <v>60</v>
      </c>
      <c r="G8" s="366">
        <f ca="1">TODAY()</f>
        <v>46221</v>
      </c>
      <c r="H8" s="366"/>
    </row>
    <row r="9" spans="1:11" ht="16.5" customHeight="1">
      <c r="A9" s="353" t="s">
        <v>43</v>
      </c>
      <c r="B9" s="355" t="s">
        <v>115</v>
      </c>
      <c r="C9" s="355"/>
      <c r="D9" s="353" t="s">
        <v>44</v>
      </c>
      <c r="E9" s="356" t="s">
        <v>116</v>
      </c>
      <c r="F9" s="356"/>
      <c r="G9" s="353" t="s">
        <v>45</v>
      </c>
      <c r="H9" s="353" t="s">
        <v>46</v>
      </c>
    </row>
    <row r="10" spans="1:11" ht="15.75" customHeight="1">
      <c r="A10" s="353"/>
      <c r="B10" s="160" t="s">
        <v>49</v>
      </c>
      <c r="C10" s="160" t="s">
        <v>50</v>
      </c>
      <c r="D10" s="353"/>
      <c r="E10" s="1" t="s">
        <v>49</v>
      </c>
      <c r="F10" s="161" t="s">
        <v>50</v>
      </c>
      <c r="G10" s="353"/>
      <c r="H10" s="353"/>
    </row>
    <row r="11" spans="1:11" ht="17.25" customHeight="1">
      <c r="A11" s="287">
        <f>'딜티켓 '!J14</f>
        <v>1850</v>
      </c>
      <c r="B11" s="287" t="str">
        <f>IF('딜티켓 '!B14="S",'딜티켓 '!C14,"KRW")</f>
        <v>KRW</v>
      </c>
      <c r="C11" s="288">
        <f>IF('딜티켓 '!B14="S",'딜티켓 '!D14,INT('딜티켓 '!D14*'딜티켓 '!H14))</f>
        <v>150000000</v>
      </c>
      <c r="D11" s="289">
        <f>'딜티켓 '!H14</f>
        <v>1500</v>
      </c>
      <c r="E11" s="287" t="str">
        <f>IF('딜티켓 '!B14="B",'딜티켓 '!C14,"KRW")</f>
        <v>USD</v>
      </c>
      <c r="F11" s="288">
        <f>IF('딜티켓 '!B14="B",'딜티켓 '!D14,INT('딜티켓 '!D14*'딜티켓 '!H14))</f>
        <v>100000</v>
      </c>
      <c r="G11" s="290">
        <f>'딜티켓 '!K14</f>
        <v>46280</v>
      </c>
      <c r="H11" s="173" t="s">
        <v>40</v>
      </c>
      <c r="I11" s="139" t="str">
        <f ca="1">'딜티켓 '!I14</f>
        <v>KSFC</v>
      </c>
    </row>
    <row r="12" spans="1:11" ht="17.25" customHeight="1">
      <c r="A12" s="287">
        <f>'딜티켓 '!J15</f>
        <v>1849</v>
      </c>
      <c r="B12" s="287" t="str">
        <f>IF('딜티켓 '!B15="S",'딜티켓 '!C15,"KRW")</f>
        <v>USD</v>
      </c>
      <c r="C12" s="288">
        <f>IF('딜티켓 '!B15="S",'딜티켓 '!D15,INT('딜티켓 '!D15*'딜티켓 '!H15))</f>
        <v>150000</v>
      </c>
      <c r="D12" s="289">
        <f>'딜티켓 '!H15</f>
        <v>1500</v>
      </c>
      <c r="E12" s="287" t="str">
        <f>IF('딜티켓 '!B15="B",'딜티켓 '!C15,"KRW")</f>
        <v>KRW</v>
      </c>
      <c r="F12" s="288">
        <f>IF('딜티켓 '!B15="B",'딜티켓 '!D15,INT('딜티켓 '!D15*'딜티켓 '!H15))</f>
        <v>225000000</v>
      </c>
      <c r="G12" s="290">
        <f>'딜티켓 '!K15</f>
        <v>46280</v>
      </c>
      <c r="H12" s="173" t="s">
        <v>40</v>
      </c>
      <c r="I12" s="139" t="str">
        <f ca="1">'딜티켓 '!I15</f>
        <v>KB</v>
      </c>
    </row>
    <row r="13" spans="1:11" ht="17.25" customHeight="1">
      <c r="A13" s="291" t="str">
        <f>'딜티켓 '!J16</f>
        <v>FB20</v>
      </c>
      <c r="B13" s="291" t="str">
        <f>IF('딜티켓 '!B16="S",'딜티켓 '!C16,"KRW")</f>
        <v>KRW</v>
      </c>
      <c r="C13" s="292">
        <f>IF('딜티켓 '!B16="S",'딜티켓 '!D16,INT('딜티켓 '!D16*'딜티켓 '!H16))</f>
        <v>0</v>
      </c>
      <c r="D13" s="293">
        <f>'딜티켓 '!H16</f>
        <v>0</v>
      </c>
      <c r="E13" s="291" t="str">
        <f>IF('딜티켓 '!B16="B",'딜티켓 '!C16,"KRW")</f>
        <v>KRW</v>
      </c>
      <c r="F13" s="292">
        <f>IF('딜티켓 '!B16="B",'딜티켓 '!D16,INT('딜티켓 '!D16*'딜티켓 '!H16))</f>
        <v>0</v>
      </c>
      <c r="G13" s="294">
        <f>'딜티켓 '!K16</f>
        <v>0</v>
      </c>
      <c r="H13" s="173" t="s">
        <v>40</v>
      </c>
      <c r="I13" s="139" t="str">
        <f ca="1">'딜티켓 '!I16</f>
        <v>HSBC</v>
      </c>
      <c r="J13" s="295"/>
      <c r="K13" s="296"/>
    </row>
    <row r="14" spans="1:11" ht="17.25" customHeight="1">
      <c r="A14" s="291">
        <f>'딜티켓 '!J17</f>
        <v>0</v>
      </c>
      <c r="B14" s="291" t="str">
        <f>IF('딜티켓 '!B17="S",'딜티켓 '!C17,"KRW")</f>
        <v>KRW</v>
      </c>
      <c r="C14" s="292">
        <f>IF('딜티켓 '!B17="S",'딜티켓 '!D17,INT('딜티켓 '!D17*'딜티켓 '!H17))</f>
        <v>0</v>
      </c>
      <c r="D14" s="293">
        <f>'딜티켓 '!H17</f>
        <v>0</v>
      </c>
      <c r="E14" s="291" t="str">
        <f>IF('딜티켓 '!B17="B",'딜티켓 '!C17,"KRW")</f>
        <v>KRW</v>
      </c>
      <c r="F14" s="297">
        <f>IF('딜티켓 '!B17="B",'딜티켓 '!D17,INT('딜티켓 '!D17*'딜티켓 '!H17))</f>
        <v>0</v>
      </c>
      <c r="G14" s="294">
        <f>'딜티켓 '!K17</f>
        <v>0</v>
      </c>
      <c r="H14" s="173" t="s">
        <v>40</v>
      </c>
      <c r="I14" s="139" t="str">
        <f ca="1">'딜티켓 '!I17</f>
        <v/>
      </c>
    </row>
    <row r="15" spans="1:11" ht="17.25" customHeight="1">
      <c r="A15" s="291">
        <f>'딜티켓 '!J18</f>
        <v>0</v>
      </c>
      <c r="B15" s="291" t="str">
        <f>IF('딜티켓 '!B18="S",'딜티켓 '!C18,"KRW")</f>
        <v>KRW</v>
      </c>
      <c r="C15" s="292">
        <f>IF('딜티켓 '!B18="S",'딜티켓 '!D18,INT('딜티켓 '!D18*'딜티켓 '!H18))</f>
        <v>0</v>
      </c>
      <c r="D15" s="293">
        <f>'딜티켓 '!H18</f>
        <v>0</v>
      </c>
      <c r="E15" s="291" t="str">
        <f>IF('딜티켓 '!B18="B",'딜티켓 '!C18,"KRW")</f>
        <v>KRW</v>
      </c>
      <c r="F15" s="297">
        <f>IF('딜티켓 '!B18="B",'딜티켓 '!D18,INT('딜티켓 '!D18*'딜티켓 '!H18))</f>
        <v>0</v>
      </c>
      <c r="G15" s="294">
        <f>'딜티켓 '!K18</f>
        <v>0</v>
      </c>
      <c r="H15" s="173" t="s">
        <v>40</v>
      </c>
      <c r="I15" s="139" t="str">
        <f ca="1">'딜티켓 '!I18</f>
        <v/>
      </c>
    </row>
    <row r="16" spans="1:11" ht="17.25" customHeight="1">
      <c r="A16" s="291">
        <f>'딜티켓 '!J19</f>
        <v>0</v>
      </c>
      <c r="B16" s="291" t="str">
        <f>IF('딜티켓 '!B19="S",'딜티켓 '!C19,"KRW")</f>
        <v>KRW</v>
      </c>
      <c r="C16" s="292">
        <f>IF('딜티켓 '!B19="S",'딜티켓 '!D19,INT('딜티켓 '!D19*'딜티켓 '!H19))</f>
        <v>0</v>
      </c>
      <c r="D16" s="293">
        <f>'딜티켓 '!H19</f>
        <v>0</v>
      </c>
      <c r="E16" s="291" t="str">
        <f>IF('딜티켓 '!B19="B",'딜티켓 '!C19,"KRW")</f>
        <v>KRW</v>
      </c>
      <c r="F16" s="297">
        <f>IF('딜티켓 '!B19="B",'딜티켓 '!D19,INT('딜티켓 '!D19*'딜티켓 '!H19))</f>
        <v>0</v>
      </c>
      <c r="G16" s="294">
        <f>'딜티켓 '!K19</f>
        <v>0</v>
      </c>
      <c r="H16" s="173" t="s">
        <v>40</v>
      </c>
      <c r="I16" s="139" t="str">
        <f ca="1">'딜티켓 '!I19</f>
        <v/>
      </c>
    </row>
    <row r="17" spans="1:17" ht="17.25" customHeight="1">
      <c r="A17" s="291">
        <f>'딜티켓 '!J20</f>
        <v>0</v>
      </c>
      <c r="B17" s="169" t="str">
        <f>IF('딜티켓 '!B20="S",'딜티켓 '!C20,"KRW")</f>
        <v>KRW</v>
      </c>
      <c r="C17" s="298">
        <f>IF('딜티켓 '!B20="S",'딜티켓 '!D20,INT('딜티켓 '!D20*'딜티켓 '!H20))</f>
        <v>0</v>
      </c>
      <c r="D17" s="299">
        <f>'딜티켓 '!H20</f>
        <v>0</v>
      </c>
      <c r="E17" s="169" t="str">
        <f>IF('딜티켓 '!B20="B",'딜티켓 '!C20,"KRW")</f>
        <v>KRW</v>
      </c>
      <c r="F17" s="300">
        <f>IF('딜티켓 '!B20="B",'딜티켓 '!D20,INT('딜티켓 '!D20*'딜티켓 '!H20))</f>
        <v>0</v>
      </c>
      <c r="G17" s="166">
        <f>'딜티켓 '!K20</f>
        <v>0</v>
      </c>
      <c r="H17" s="173" t="s">
        <v>40</v>
      </c>
      <c r="I17" s="139" t="str">
        <f ca="1">'딜티켓 '!I20</f>
        <v/>
      </c>
      <c r="J17" s="296"/>
      <c r="K17" s="285"/>
      <c r="L17" s="178"/>
    </row>
    <row r="18" spans="1:17" ht="17.25" customHeight="1">
      <c r="A18" s="162">
        <f>'딜티켓 '!J21</f>
        <v>0</v>
      </c>
      <c r="B18" s="169" t="str">
        <f>IF('딜티켓 '!B21="S",'딜티켓 '!C21,"KRW")</f>
        <v>KRW</v>
      </c>
      <c r="C18" s="298">
        <f>IF('딜티켓 '!B21="S",'딜티켓 '!D21,INT('딜티켓 '!D21*'딜티켓 '!H21))</f>
        <v>0</v>
      </c>
      <c r="D18" s="299">
        <f>'딜티켓 '!H21</f>
        <v>0</v>
      </c>
      <c r="E18" s="169" t="str">
        <f>IF('딜티켓 '!B21="B",'딜티켓 '!C21,"KRW")</f>
        <v>KRW</v>
      </c>
      <c r="F18" s="300">
        <f>IF('딜티켓 '!B21="B",'딜티켓 '!D21,INT('딜티켓 '!D21*'딜티켓 '!H21))</f>
        <v>0</v>
      </c>
      <c r="G18" s="166">
        <f>'딜티켓 '!K21</f>
        <v>0</v>
      </c>
      <c r="H18" s="173" t="s">
        <v>40</v>
      </c>
      <c r="I18" s="139" t="str">
        <f ca="1">'딜티켓 '!I21</f>
        <v/>
      </c>
    </row>
    <row r="19" spans="1:17" ht="17.25" customHeight="1">
      <c r="A19" s="162">
        <f>'딜티켓 '!J22</f>
        <v>0</v>
      </c>
      <c r="B19" s="169" t="str">
        <f>IF('딜티켓 '!B22="S",'딜티켓 '!C22,"KRW")</f>
        <v>KRW</v>
      </c>
      <c r="C19" s="298">
        <f>IF('딜티켓 '!B22="S",'딜티켓 '!D22,INT('딜티켓 '!D22*'딜티켓 '!H22))</f>
        <v>0</v>
      </c>
      <c r="D19" s="299">
        <f>'딜티켓 '!H22</f>
        <v>0</v>
      </c>
      <c r="E19" s="169" t="str">
        <f>IF('딜티켓 '!B22="B",'딜티켓 '!C22,"KRW")</f>
        <v>KRW</v>
      </c>
      <c r="F19" s="300">
        <f>IF('딜티켓 '!B22="B",'딜티켓 '!D22,INT('딜티켓 '!D22*'딜티켓 '!H22))</f>
        <v>0</v>
      </c>
      <c r="G19" s="166">
        <f>'딜티켓 '!K22</f>
        <v>0</v>
      </c>
      <c r="H19" s="173" t="s">
        <v>40</v>
      </c>
      <c r="I19" s="139" t="str">
        <f ca="1">'딜티켓 '!I22</f>
        <v/>
      </c>
    </row>
    <row r="20" spans="1:17" ht="17.25" customHeight="1">
      <c r="A20" s="162">
        <f>'딜티켓 '!J23</f>
        <v>0</v>
      </c>
      <c r="B20" s="169" t="str">
        <f>IF('딜티켓 '!B23="S",'딜티켓 '!C23,"KRW")</f>
        <v>KRW</v>
      </c>
      <c r="C20" s="298">
        <f>IF('딜티켓 '!B23="S",'딜티켓 '!D23,INT('딜티켓 '!D23*'딜티켓 '!H23))</f>
        <v>0</v>
      </c>
      <c r="D20" s="299">
        <f>'딜티켓 '!H23</f>
        <v>0</v>
      </c>
      <c r="E20" s="169" t="str">
        <f>IF('딜티켓 '!B23="B",'딜티켓 '!C23,"KRW")</f>
        <v>KRW</v>
      </c>
      <c r="F20" s="300">
        <f>IF('딜티켓 '!B23="B",'딜티켓 '!D23,INT('딜티켓 '!D23*'딜티켓 '!H23))</f>
        <v>0</v>
      </c>
      <c r="G20" s="166">
        <f>'딜티켓 '!K23</f>
        <v>0</v>
      </c>
      <c r="H20" s="173" t="s">
        <v>117</v>
      </c>
      <c r="I20" s="139" t="str">
        <f ca="1">'딜티켓 '!I23</f>
        <v/>
      </c>
      <c r="L20" s="285"/>
    </row>
    <row r="21" spans="1:17" ht="17.25" customHeight="1">
      <c r="A21" s="162">
        <f>'딜티켓 '!J24</f>
        <v>0</v>
      </c>
      <c r="B21" s="169" t="str">
        <f>IF('딜티켓 '!B24="S",'딜티켓 '!C24,"KRW")</f>
        <v>KRW</v>
      </c>
      <c r="C21" s="298">
        <f>IF('딜티켓 '!B24="S",'딜티켓 '!D24,INT('딜티켓 '!D24*'딜티켓 '!H24))</f>
        <v>0</v>
      </c>
      <c r="D21" s="299">
        <f>'딜티켓 '!H24</f>
        <v>0</v>
      </c>
      <c r="E21" s="169" t="str">
        <f>IF('딜티켓 '!B24="B",'딜티켓 '!C24,"KRW")</f>
        <v>KRW</v>
      </c>
      <c r="F21" s="300">
        <f>IF('딜티켓 '!B24="B",'딜티켓 '!D24,INT('딜티켓 '!D24*'딜티켓 '!H24))</f>
        <v>0</v>
      </c>
      <c r="G21" s="166">
        <f>'딜티켓 '!K24</f>
        <v>0</v>
      </c>
      <c r="H21" s="173" t="s">
        <v>117</v>
      </c>
      <c r="I21" s="139" t="str">
        <f ca="1">'딜티켓 '!I24</f>
        <v/>
      </c>
      <c r="J21" s="296"/>
    </row>
    <row r="22" spans="1:17" ht="17.25" customHeight="1">
      <c r="A22" s="162" t="e">
        <f>#REF!</f>
        <v>#REF!</v>
      </c>
      <c r="B22" s="169" t="e">
        <f>IF(#REF!="S",#REF!,"KRW")</f>
        <v>#REF!</v>
      </c>
      <c r="C22" s="298" t="e">
        <f>IF(#REF!="S",#REF!,INT(#REF!*#REF!))</f>
        <v>#REF!</v>
      </c>
      <c r="D22" s="299" t="e">
        <f>#REF!</f>
        <v>#REF!</v>
      </c>
      <c r="E22" s="169" t="e">
        <f>IF(#REF!="B",#REF!,"KRW")</f>
        <v>#REF!</v>
      </c>
      <c r="F22" s="300" t="e">
        <f>IF(#REF!="B",#REF!,INT(#REF!*#REF!))</f>
        <v>#REF!</v>
      </c>
      <c r="G22" s="166" t="e">
        <f>#REF!</f>
        <v>#REF!</v>
      </c>
      <c r="H22" s="173" t="s">
        <v>117</v>
      </c>
      <c r="I22" s="139" t="e">
        <f>#REF!</f>
        <v>#REF!</v>
      </c>
      <c r="J22" s="296"/>
    </row>
    <row r="23" spans="1:17" ht="17.25" customHeight="1">
      <c r="A23" s="301"/>
      <c r="B23" s="169"/>
      <c r="C23" s="298"/>
      <c r="D23" s="299"/>
      <c r="E23" s="169"/>
      <c r="F23" s="300"/>
      <c r="G23" s="166"/>
      <c r="H23" s="173"/>
    </row>
    <row r="24" spans="1:17" ht="17.25" customHeight="1">
      <c r="A24" s="169"/>
      <c r="B24" s="169"/>
      <c r="C24" s="302" t="s">
        <v>118</v>
      </c>
      <c r="D24" s="303"/>
      <c r="E24" s="169"/>
      <c r="F24" s="304"/>
      <c r="G24" s="173"/>
      <c r="H24" s="173"/>
    </row>
    <row r="25" spans="1:17" ht="17.25" customHeight="1">
      <c r="A25" s="169"/>
      <c r="B25" s="169"/>
      <c r="C25" s="302"/>
      <c r="D25" s="303"/>
      <c r="E25" s="169"/>
      <c r="F25" s="305"/>
      <c r="G25" s="173"/>
      <c r="H25" s="173"/>
    </row>
    <row r="26" spans="1:17" ht="17.25" customHeight="1">
      <c r="A26" s="169"/>
      <c r="B26" s="169"/>
      <c r="C26" s="305"/>
      <c r="D26" s="303"/>
      <c r="E26" s="169"/>
      <c r="F26" s="305"/>
      <c r="G26" s="173"/>
      <c r="H26" s="173"/>
    </row>
    <row r="27" spans="1:17" ht="17.25" customHeight="1">
      <c r="A27" s="169"/>
      <c r="B27" s="169"/>
      <c r="C27" s="305"/>
      <c r="D27" s="303"/>
      <c r="E27" s="169"/>
      <c r="F27" s="305"/>
      <c r="G27" s="173"/>
      <c r="H27" s="173"/>
      <c r="Q27" s="306"/>
    </row>
    <row r="28" spans="1:17" ht="17.25" customHeight="1">
      <c r="A28" s="169"/>
      <c r="B28" s="169"/>
      <c r="C28" s="304"/>
      <c r="D28" s="303"/>
      <c r="E28" s="169"/>
      <c r="F28" s="305"/>
      <c r="G28" s="173"/>
      <c r="H28" s="173"/>
    </row>
    <row r="29" spans="1:17" ht="17.25" customHeight="1">
      <c r="A29" s="169"/>
      <c r="B29" s="169"/>
      <c r="C29" s="305"/>
      <c r="D29" s="303"/>
      <c r="E29" s="169"/>
      <c r="F29" s="304"/>
      <c r="G29" s="173"/>
      <c r="H29" s="173"/>
    </row>
    <row r="30" spans="1:17" ht="17.25" customHeight="1">
      <c r="A30" s="169"/>
      <c r="B30" s="169"/>
      <c r="C30" s="304"/>
      <c r="D30" s="303"/>
      <c r="E30" s="169"/>
      <c r="F30" s="305"/>
      <c r="G30" s="173"/>
      <c r="H30" s="173"/>
    </row>
    <row r="31" spans="1:17" ht="17.25" customHeight="1">
      <c r="A31" s="169"/>
      <c r="B31" s="169"/>
      <c r="C31" s="305"/>
      <c r="D31" s="307"/>
      <c r="E31" s="169"/>
      <c r="F31" s="304"/>
      <c r="G31" s="173"/>
      <c r="H31" s="173"/>
    </row>
    <row r="32" spans="1:17" ht="17.25" customHeight="1">
      <c r="A32" s="169"/>
      <c r="B32" s="169"/>
      <c r="C32" s="304"/>
      <c r="D32" s="307"/>
      <c r="E32" s="169"/>
      <c r="F32" s="305"/>
      <c r="G32" s="173"/>
      <c r="H32" s="173"/>
    </row>
    <row r="33" spans="1:8" ht="17.25" customHeight="1">
      <c r="A33" s="169"/>
      <c r="B33" s="169"/>
      <c r="C33" s="308"/>
      <c r="D33" s="303"/>
      <c r="E33" s="169"/>
      <c r="F33" s="305"/>
      <c r="G33" s="173"/>
      <c r="H33" s="173"/>
    </row>
    <row r="34" spans="1:8" ht="17.25" customHeight="1">
      <c r="A34" s="169"/>
      <c r="B34" s="169"/>
      <c r="C34" s="308"/>
      <c r="D34" s="303"/>
      <c r="E34" s="169"/>
      <c r="F34" s="304"/>
      <c r="G34" s="173"/>
      <c r="H34" s="173"/>
    </row>
    <row r="35" spans="1:8" ht="15.75" customHeight="1">
      <c r="A35" s="180" t="s">
        <v>119</v>
      </c>
      <c r="F35" s="180"/>
    </row>
    <row r="37" spans="1:8" ht="15.75" customHeight="1">
      <c r="A37" s="139" t="s">
        <v>120</v>
      </c>
      <c r="E37" s="139" t="s">
        <v>114</v>
      </c>
    </row>
    <row r="38" spans="1:8" ht="15.75" customHeight="1">
      <c r="A38" s="139" t="s">
        <v>121</v>
      </c>
    </row>
    <row r="40" spans="1:8" ht="15.75" customHeight="1">
      <c r="A40" s="154"/>
      <c r="B40" s="154"/>
      <c r="E40" s="154"/>
      <c r="F40" s="154"/>
    </row>
    <row r="41" spans="1:8" ht="15.75" customHeight="1">
      <c r="A41" s="139" t="s">
        <v>51</v>
      </c>
      <c r="E41" s="139" t="s">
        <v>51</v>
      </c>
    </row>
    <row r="43" spans="1:8" ht="19.5" customHeight="1">
      <c r="A43" s="184" t="s">
        <v>122</v>
      </c>
    </row>
    <row r="48" spans="1:8" ht="15.75" customHeight="1">
      <c r="F48" s="309">
        <v>41913</v>
      </c>
    </row>
    <row r="49" spans="6:6" ht="15.75" customHeight="1">
      <c r="F49" s="309">
        <v>41821</v>
      </c>
    </row>
    <row r="50" spans="6:6" ht="15.75" customHeight="1">
      <c r="F50" s="175">
        <f>F48-F49</f>
        <v>92</v>
      </c>
    </row>
    <row r="51" spans="6:6" ht="15.75" customHeight="1">
      <c r="F51" s="310">
        <v>41817</v>
      </c>
    </row>
    <row r="52" spans="6:6" ht="15.75" customHeight="1">
      <c r="F52" s="309">
        <v>41908</v>
      </c>
    </row>
    <row r="53" spans="6:6" ht="15.75" customHeight="1">
      <c r="F53" s="175">
        <f>F52-F51</f>
        <v>91</v>
      </c>
    </row>
  </sheetData>
  <mergeCells count="8">
    <mergeCell ref="A2:G2"/>
    <mergeCell ref="G8:H8"/>
    <mergeCell ref="A9:A10"/>
    <mergeCell ref="B9:C9"/>
    <mergeCell ref="D9:D10"/>
    <mergeCell ref="E9:F9"/>
    <mergeCell ref="G9:G10"/>
    <mergeCell ref="H9:H10"/>
  </mergeCells>
  <phoneticPr fontId="9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2:IW65536"/>
  <sheetViews>
    <sheetView showGridLines="0" zoomScaleNormal="100" workbookViewId="0">
      <selection activeCell="F42" sqref="F42"/>
    </sheetView>
  </sheetViews>
  <sheetFormatPr defaultColWidth="8.9140625" defaultRowHeight="15.5"/>
  <cols>
    <col min="1" max="1" width="9.58203125" style="139" customWidth="1"/>
    <col min="2" max="2" width="7" style="139" customWidth="1"/>
    <col min="3" max="3" width="15.75" style="139" customWidth="1"/>
    <col min="4" max="4" width="7.9140625" style="139" customWidth="1"/>
    <col min="5" max="5" width="6.25" style="139" customWidth="1"/>
    <col min="6" max="6" width="15.75" style="139" customWidth="1"/>
    <col min="7" max="7" width="10" style="139" customWidth="1"/>
    <col min="8" max="8" width="8.9140625" style="139"/>
    <col min="9" max="9" width="11.4140625" style="139" customWidth="1"/>
    <col min="10" max="11" width="8.9140625" style="139"/>
    <col min="12" max="12" width="9.08203125" style="139" customWidth="1"/>
    <col min="13" max="257" width="8.9140625" style="139"/>
  </cols>
  <sheetData>
    <row r="2" spans="1:10" ht="20.25" customHeight="1">
      <c r="A2" s="354" t="s">
        <v>33</v>
      </c>
      <c r="B2" s="354"/>
      <c r="C2" s="354"/>
      <c r="D2" s="354"/>
      <c r="E2" s="354"/>
      <c r="F2" s="354"/>
      <c r="G2" s="354"/>
      <c r="H2" s="354"/>
      <c r="I2" s="175"/>
    </row>
    <row r="3" spans="1:10" ht="15.75" customHeight="1">
      <c r="A3" s="141"/>
    </row>
    <row r="4" spans="1:10" ht="16.5" customHeight="1">
      <c r="A4" s="143" t="s">
        <v>34</v>
      </c>
      <c r="B4" s="144"/>
      <c r="C4" s="144" t="s">
        <v>32</v>
      </c>
      <c r="D4" s="145"/>
      <c r="E4" s="145"/>
      <c r="F4" s="145"/>
      <c r="G4" s="145"/>
      <c r="H4" s="146"/>
    </row>
    <row r="5" spans="1:10" ht="16.5" customHeight="1">
      <c r="A5" s="147" t="s">
        <v>35</v>
      </c>
      <c r="B5" s="148"/>
      <c r="C5" s="185" t="e">
        <f>TRIM(SUBSTITUTE('딜티켓 '!C9,MID('딜티켓 '!C9,FIND("(",'딜티켓 '!C9),FIND(")",'딜티켓 '!C9)-FIND("(",'딜티켓 '!C9)+1),""))&amp;"자산운용"</f>
        <v>#VALUE!</v>
      </c>
      <c r="H5" s="150"/>
    </row>
    <row r="6" spans="1:10" ht="16.5" customHeight="1">
      <c r="A6" s="147" t="s">
        <v>36</v>
      </c>
      <c r="B6" s="148"/>
      <c r="C6" s="148" t="s">
        <v>32</v>
      </c>
      <c r="H6" s="150"/>
    </row>
    <row r="7" spans="1:10" ht="16.5" customHeight="1">
      <c r="A7" s="147" t="s">
        <v>39</v>
      </c>
      <c r="B7" s="148"/>
      <c r="C7" s="148" t="s">
        <v>59</v>
      </c>
      <c r="H7" s="150"/>
    </row>
    <row r="8" spans="1:10" ht="16.5" customHeight="1">
      <c r="A8" s="151" t="s">
        <v>41</v>
      </c>
      <c r="B8" s="152"/>
      <c r="C8" s="153" t="s">
        <v>42</v>
      </c>
      <c r="D8" s="154"/>
      <c r="E8" s="154"/>
      <c r="F8" s="154"/>
      <c r="G8" s="154"/>
      <c r="H8" s="155"/>
    </row>
    <row r="9" spans="1:10" ht="16.5" customHeight="1">
      <c r="A9" s="156"/>
      <c r="B9" s="156"/>
      <c r="C9" s="156"/>
      <c r="D9" s="156"/>
      <c r="E9" s="156"/>
      <c r="F9" s="157"/>
      <c r="G9" s="157" t="s">
        <v>60</v>
      </c>
      <c r="H9" s="311">
        <f ca="1">TODAY()</f>
        <v>46221</v>
      </c>
    </row>
    <row r="10" spans="1:10" ht="15.75" customHeight="1">
      <c r="A10" s="353" t="s">
        <v>43</v>
      </c>
      <c r="B10" s="355" t="e">
        <f>C5&amp;"매수"</f>
        <v>#VALUE!</v>
      </c>
      <c r="C10" s="355"/>
      <c r="D10" s="353" t="s">
        <v>44</v>
      </c>
      <c r="E10" s="356" t="e">
        <f>C5&amp;"매도"</f>
        <v>#VALUE!</v>
      </c>
      <c r="F10" s="356"/>
      <c r="G10" s="353" t="s">
        <v>45</v>
      </c>
      <c r="H10" s="353" t="s">
        <v>46</v>
      </c>
    </row>
    <row r="11" spans="1:10" ht="15.75" customHeight="1">
      <c r="A11" s="353"/>
      <c r="B11" s="160" t="s">
        <v>49</v>
      </c>
      <c r="C11" s="160" t="s">
        <v>50</v>
      </c>
      <c r="D11" s="353"/>
      <c r="E11" s="1" t="s">
        <v>49</v>
      </c>
      <c r="F11" s="161" t="s">
        <v>50</v>
      </c>
      <c r="G11" s="353"/>
      <c r="H11" s="353"/>
    </row>
    <row r="12" spans="1:10" ht="17.25" customHeight="1">
      <c r="A12" s="169" t="s">
        <v>123</v>
      </c>
      <c r="B12" s="170" t="s">
        <v>124</v>
      </c>
      <c r="C12" s="171">
        <v>54568000</v>
      </c>
      <c r="D12" s="172">
        <v>1364.2</v>
      </c>
      <c r="E12" s="169" t="s">
        <v>24</v>
      </c>
      <c r="F12" s="171">
        <v>40000</v>
      </c>
      <c r="G12" s="173">
        <v>45517</v>
      </c>
      <c r="H12" s="168" t="s">
        <v>40</v>
      </c>
      <c r="I12" s="142" t="s">
        <v>125</v>
      </c>
      <c r="J12" s="139" t="s">
        <v>62</v>
      </c>
    </row>
    <row r="13" spans="1:10" ht="17.25" customHeight="1">
      <c r="A13" s="169"/>
      <c r="B13" s="170"/>
      <c r="C13" s="171"/>
      <c r="D13" s="172"/>
      <c r="E13" s="169"/>
      <c r="F13" s="171"/>
      <c r="G13" s="173"/>
      <c r="H13" s="168"/>
      <c r="I13" s="142"/>
      <c r="J13" s="168" t="s">
        <v>40</v>
      </c>
    </row>
    <row r="14" spans="1:10" ht="17.25" customHeight="1">
      <c r="A14" s="169"/>
      <c r="B14" s="170"/>
      <c r="C14" s="171"/>
      <c r="D14" s="172"/>
      <c r="E14" s="169"/>
      <c r="F14" s="171"/>
      <c r="G14" s="173"/>
      <c r="H14" s="168"/>
      <c r="I14" s="142"/>
      <c r="J14" s="168" t="s">
        <v>61</v>
      </c>
    </row>
    <row r="15" spans="1:10" ht="17.25" customHeight="1">
      <c r="A15" s="169"/>
      <c r="B15" s="170"/>
      <c r="C15" s="171"/>
      <c r="D15" s="172"/>
      <c r="E15" s="169"/>
      <c r="F15" s="171"/>
      <c r="G15" s="173"/>
      <c r="H15" s="168"/>
      <c r="I15" s="142"/>
      <c r="J15" s="168" t="s">
        <v>63</v>
      </c>
    </row>
    <row r="16" spans="1:10" ht="17.25" customHeight="1">
      <c r="A16" s="169"/>
      <c r="B16" s="170"/>
      <c r="C16" s="171"/>
      <c r="D16" s="172"/>
      <c r="E16" s="169"/>
      <c r="F16" s="171"/>
      <c r="G16" s="173"/>
      <c r="H16" s="168"/>
      <c r="I16" s="142"/>
    </row>
    <row r="17" spans="1:9" ht="17.25" customHeight="1">
      <c r="A17" s="169"/>
      <c r="B17" s="170"/>
      <c r="C17" s="171"/>
      <c r="D17" s="172"/>
      <c r="E17" s="169"/>
      <c r="F17" s="171"/>
      <c r="G17" s="173"/>
      <c r="H17" s="169"/>
      <c r="I17" s="142"/>
    </row>
    <row r="18" spans="1:9" ht="17.25" customHeight="1">
      <c r="A18" s="169"/>
      <c r="B18" s="170"/>
      <c r="C18" s="171"/>
      <c r="D18" s="172"/>
      <c r="E18" s="169"/>
      <c r="F18" s="171"/>
      <c r="G18" s="173"/>
      <c r="H18" s="169"/>
      <c r="I18" s="142"/>
    </row>
    <row r="19" spans="1:9" ht="17.25" customHeight="1">
      <c r="A19" s="169"/>
      <c r="B19" s="170"/>
      <c r="C19" s="171"/>
      <c r="D19" s="172"/>
      <c r="E19" s="169"/>
      <c r="F19" s="171"/>
      <c r="G19" s="173"/>
      <c r="H19" s="169"/>
      <c r="I19" s="142"/>
    </row>
    <row r="20" spans="1:9" ht="17.25" customHeight="1">
      <c r="A20" s="169"/>
      <c r="B20" s="170"/>
      <c r="C20" s="171"/>
      <c r="D20" s="172"/>
      <c r="E20" s="169"/>
      <c r="F20" s="171"/>
      <c r="G20" s="173"/>
      <c r="H20" s="169"/>
      <c r="I20" s="142"/>
    </row>
    <row r="21" spans="1:9" ht="17.25" customHeight="1">
      <c r="A21" s="169"/>
      <c r="B21" s="170"/>
      <c r="C21" s="171"/>
      <c r="D21" s="172"/>
      <c r="E21" s="169"/>
      <c r="F21" s="171"/>
      <c r="G21" s="173"/>
      <c r="H21" s="169"/>
      <c r="I21" s="142"/>
    </row>
    <row r="22" spans="1:9" ht="17.25" customHeight="1">
      <c r="A22" s="169"/>
      <c r="B22" s="170"/>
      <c r="C22" s="171"/>
      <c r="D22" s="172"/>
      <c r="E22" s="169"/>
      <c r="F22" s="171"/>
      <c r="G22" s="173"/>
      <c r="H22" s="169"/>
      <c r="I22" s="142"/>
    </row>
    <row r="23" spans="1:9" ht="17.25" customHeight="1">
      <c r="A23" s="169"/>
      <c r="B23" s="170"/>
      <c r="C23" s="171"/>
      <c r="D23" s="172"/>
      <c r="E23" s="169"/>
      <c r="F23" s="171"/>
      <c r="G23" s="173"/>
      <c r="H23" s="169"/>
      <c r="I23" s="142"/>
    </row>
    <row r="24" spans="1:9" ht="16.5" customHeight="1">
      <c r="A24" s="174" t="s">
        <v>64</v>
      </c>
      <c r="B24" s="175"/>
      <c r="C24" s="176"/>
      <c r="D24" s="177"/>
      <c r="E24" s="141"/>
      <c r="F24" s="178"/>
      <c r="G24" s="178"/>
      <c r="H24" s="179"/>
      <c r="I24" s="142" t="s">
        <v>125</v>
      </c>
    </row>
    <row r="25" spans="1:9" ht="15.75" customHeight="1">
      <c r="A25" s="180" t="str">
        <f>"* 위 CONFIRMATION으로 해당은행에 대한 송금신청을 대신합니다(수탁은행:"&amp;I24&amp;")"</f>
        <v>* 위 CONFIRMATION으로 해당은행에 대한 송금신청을 대신합니다(수탁은행:HANA)</v>
      </c>
      <c r="F25" s="181"/>
      <c r="I25" s="182"/>
    </row>
    <row r="26" spans="1:9" ht="15.75" customHeight="1">
      <c r="I26" s="182"/>
    </row>
    <row r="27" spans="1:9" ht="15.75" customHeight="1">
      <c r="A27" s="186" t="e">
        <f>C5</f>
        <v>#VALUE!</v>
      </c>
      <c r="E27" s="139" t="s">
        <v>32</v>
      </c>
      <c r="I27" s="182"/>
    </row>
    <row r="28" spans="1:9" ht="15.75" customHeight="1">
      <c r="I28" s="182"/>
    </row>
    <row r="29" spans="1:9" ht="15.75" customHeight="1">
      <c r="I29" s="182"/>
    </row>
    <row r="31" spans="1:9" ht="15.75" customHeight="1">
      <c r="A31" s="154"/>
      <c r="B31" s="154"/>
      <c r="E31" s="154"/>
      <c r="F31" s="154"/>
    </row>
    <row r="32" spans="1:9" ht="15.75" customHeight="1">
      <c r="A32" s="139" t="s">
        <v>51</v>
      </c>
      <c r="E32" s="139" t="s">
        <v>51</v>
      </c>
    </row>
    <row r="35" spans="1:1" ht="19.5" customHeight="1">
      <c r="A35" s="184" t="s">
        <v>65</v>
      </c>
    </row>
    <row r="65536" spans="8:8" ht="15.75" customHeight="1">
      <c r="H65536" s="168" t="s">
        <v>40</v>
      </c>
    </row>
  </sheetData>
  <mergeCells count="7">
    <mergeCell ref="A2:H2"/>
    <mergeCell ref="A10:A11"/>
    <mergeCell ref="B10:C10"/>
    <mergeCell ref="D10:D11"/>
    <mergeCell ref="E10:F10"/>
    <mergeCell ref="G10:G11"/>
    <mergeCell ref="H10:H11"/>
  </mergeCells>
  <phoneticPr fontId="9" type="noConversion"/>
  <printOptions horizontalCentered="1"/>
  <pageMargins left="0.74791666666666701" right="0.74791666666666701" top="1.22013888888889" bottom="0.98402777777777795" header="0.70833333333333304" footer="0.511811023622047"/>
  <pageSetup paperSize="9" orientation="portrait" horizontalDpi="300" verticalDpi="300"/>
  <headerFooter>
    <oddHeader>&amp;R&amp;D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1">
              <controlPr defaultSize="0" autoPict="0" macro="Module2.uniquejointocell">
                <anchor moveWithCells="1" sizeWithCells="1">
                  <from>
                    <xdr:col>9</xdr:col>
                    <xdr:colOff>6350</xdr:colOff>
                    <xdr:row>8</xdr:row>
                    <xdr:rowOff>101600</xdr:rowOff>
                  </from>
                  <to>
                    <xdr:col>10</xdr:col>
                    <xdr:colOff>184150</xdr:colOff>
                    <xdr:row>10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4" name="Button 2">
              <controlPr defaultSize="0" autoPict="0" macro="Module2.uniquejointocell">
                <anchor moveWithCells="1" sizeWithCells="1">
                  <from>
                    <xdr:col>9</xdr:col>
                    <xdr:colOff>6350</xdr:colOff>
                    <xdr:row>9</xdr:row>
                    <xdr:rowOff>12700</xdr:rowOff>
                  </from>
                  <to>
                    <xdr:col>10</xdr:col>
                    <xdr:colOff>273050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autoFill="0" autoPict="0" macro="Module2.uniquejointocell" altText="수탁은행">
                <anchor moveWithCells="1">
                  <from>
                    <xdr:col>9</xdr:col>
                    <xdr:colOff>6350</xdr:colOff>
                    <xdr:row>8</xdr:row>
                    <xdr:rowOff>152400</xdr:rowOff>
                  </from>
                  <to>
                    <xdr:col>10</xdr:col>
                    <xdr:colOff>273050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autoFill="0" autoPict="0" macro="Module2.uniquejointocell" altText="수탁은행">
                <anchor moveWithCells="1">
                  <from>
                    <xdr:col>9</xdr:col>
                    <xdr:colOff>6350</xdr:colOff>
                    <xdr:row>9</xdr:row>
                    <xdr:rowOff>19050</xdr:rowOff>
                  </from>
                  <to>
                    <xdr:col>10</xdr:col>
                    <xdr:colOff>406400</xdr:colOff>
                    <xdr:row>10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EAEAEA"/>
  </sheetPr>
  <dimension ref="A2:IW43"/>
  <sheetViews>
    <sheetView zoomScale="90" zoomScaleNormal="90" workbookViewId="0">
      <selection activeCell="C30" sqref="C30"/>
    </sheetView>
  </sheetViews>
  <sheetFormatPr defaultColWidth="8.9140625" defaultRowHeight="15.5"/>
  <cols>
    <col min="1" max="1" width="9.9140625" style="139" customWidth="1"/>
    <col min="2" max="2" width="5.9140625" style="139" customWidth="1"/>
    <col min="3" max="3" width="16.58203125" style="139" customWidth="1"/>
    <col min="4" max="4" width="8.33203125" style="139" customWidth="1"/>
    <col min="5" max="5" width="6.25" style="139" customWidth="1"/>
    <col min="6" max="6" width="16.33203125" style="139" customWidth="1"/>
    <col min="7" max="7" width="9.4140625" style="139" customWidth="1"/>
    <col min="8" max="8" width="9.9140625" style="139" customWidth="1"/>
    <col min="9" max="9" width="8.9140625" style="139"/>
    <col min="10" max="10" width="10.08203125" style="139" customWidth="1"/>
    <col min="11" max="257" width="8.9140625" style="139"/>
  </cols>
  <sheetData>
    <row r="2" spans="1:10" ht="20.25" customHeight="1">
      <c r="A2" s="354" t="s">
        <v>33</v>
      </c>
      <c r="B2" s="354"/>
      <c r="C2" s="354"/>
      <c r="D2" s="354"/>
      <c r="E2" s="354"/>
      <c r="F2" s="354"/>
      <c r="G2" s="354"/>
      <c r="H2" s="175"/>
    </row>
    <row r="3" spans="1:10" ht="15.75" customHeight="1">
      <c r="A3" s="141"/>
    </row>
    <row r="4" spans="1:10" ht="16.5" customHeight="1">
      <c r="A4" s="143" t="s">
        <v>34</v>
      </c>
      <c r="B4" s="144"/>
      <c r="C4" s="144" t="s">
        <v>114</v>
      </c>
      <c r="D4" s="145"/>
      <c r="E4" s="145"/>
      <c r="F4" s="145"/>
      <c r="G4" s="145"/>
      <c r="H4" s="146"/>
    </row>
    <row r="5" spans="1:10" ht="16.5" customHeight="1">
      <c r="A5" s="147" t="s">
        <v>35</v>
      </c>
      <c r="B5" s="148"/>
      <c r="C5" s="148"/>
      <c r="H5" s="150"/>
    </row>
    <row r="6" spans="1:10" ht="16.5" customHeight="1">
      <c r="A6" s="147" t="s">
        <v>39</v>
      </c>
      <c r="B6" s="148"/>
      <c r="C6" s="148" t="s">
        <v>61</v>
      </c>
      <c r="H6" s="150"/>
    </row>
    <row r="7" spans="1:10" ht="16.5" customHeight="1">
      <c r="A7" s="151" t="s">
        <v>41</v>
      </c>
      <c r="B7" s="152"/>
      <c r="C7" s="153" t="s">
        <v>42</v>
      </c>
      <c r="D7" s="154"/>
      <c r="E7" s="154"/>
      <c r="F7" s="154"/>
      <c r="G7" s="154"/>
      <c r="H7" s="155"/>
    </row>
    <row r="8" spans="1:10" ht="16.5" customHeight="1">
      <c r="A8" s="156"/>
      <c r="B8" s="156"/>
      <c r="C8" s="156"/>
      <c r="D8" s="156"/>
      <c r="E8" s="156"/>
      <c r="F8" s="157" t="s">
        <v>60</v>
      </c>
      <c r="G8" s="366">
        <f ca="1">TODAY()</f>
        <v>46221</v>
      </c>
      <c r="H8" s="366"/>
    </row>
    <row r="9" spans="1:10" ht="16.5" customHeight="1">
      <c r="A9" s="353" t="s">
        <v>43</v>
      </c>
      <c r="B9" s="355" t="s">
        <v>115</v>
      </c>
      <c r="C9" s="355"/>
      <c r="D9" s="353" t="s">
        <v>44</v>
      </c>
      <c r="E9" s="356" t="s">
        <v>116</v>
      </c>
      <c r="F9" s="356"/>
      <c r="G9" s="353" t="s">
        <v>45</v>
      </c>
      <c r="H9" s="353" t="s">
        <v>46</v>
      </c>
    </row>
    <row r="10" spans="1:10" ht="15.75" customHeight="1">
      <c r="A10" s="353"/>
      <c r="B10" s="160" t="s">
        <v>49</v>
      </c>
      <c r="C10" s="160" t="s">
        <v>50</v>
      </c>
      <c r="D10" s="353"/>
      <c r="E10" s="1" t="s">
        <v>49</v>
      </c>
      <c r="F10" s="161" t="s">
        <v>50</v>
      </c>
      <c r="G10" s="353"/>
      <c r="H10" s="353"/>
    </row>
    <row r="11" spans="1:10" ht="17.25" customHeight="1">
      <c r="A11" s="312">
        <f>'딜티켓 '!J14</f>
        <v>1850</v>
      </c>
      <c r="B11" s="291" t="str">
        <f>IF('딜티켓 '!B14="S",'딜티켓 '!C16,"KRW")</f>
        <v>KRW</v>
      </c>
      <c r="C11" s="292">
        <f>IF('딜티켓 '!B14="S",'딜티켓 '!D14,INT('딜티켓 '!D14*'딜티켓 '!H14))</f>
        <v>150000000</v>
      </c>
      <c r="D11" s="293">
        <f>'딜티켓 '!H14</f>
        <v>1500</v>
      </c>
      <c r="E11" s="291">
        <f>IF('딜티켓 '!B14="B",'딜티켓 '!C16,"KRW")</f>
        <v>0</v>
      </c>
      <c r="F11" s="297">
        <f>IF('딜티켓 '!B14="B",'딜티켓 '!D14,INT('딜티켓 '!D14*'딜티켓 '!H14))</f>
        <v>100000</v>
      </c>
      <c r="G11" s="294">
        <f>'딜티켓 '!K14</f>
        <v>46280</v>
      </c>
      <c r="H11" s="173" t="s">
        <v>117</v>
      </c>
      <c r="I11" s="139" t="str">
        <f ca="1">'딜티켓 '!I14</f>
        <v>KSFC</v>
      </c>
    </row>
    <row r="12" spans="1:10" ht="17.25" customHeight="1">
      <c r="A12" s="312">
        <f>'딜티켓 '!J15</f>
        <v>1849</v>
      </c>
      <c r="B12" s="291" t="str">
        <f>IF('딜티켓 '!B15="S",'딜티켓 '!C15,"KRW")</f>
        <v>USD</v>
      </c>
      <c r="C12" s="292">
        <f>IF('딜티켓 '!B15="S",'딜티켓 '!D15,INT('딜티켓 '!D15*'딜티켓 '!H15))</f>
        <v>150000</v>
      </c>
      <c r="D12" s="293">
        <f>'딜티켓 '!H15</f>
        <v>1500</v>
      </c>
      <c r="E12" s="291" t="str">
        <f>IF('딜티켓 '!B15="B",'딜티켓 '!C15,"KRW")</f>
        <v>KRW</v>
      </c>
      <c r="F12" s="297">
        <f>IF('딜티켓 '!B15="B",'딜티켓 '!D15,INT('딜티켓 '!D15*'딜티켓 '!H15))</f>
        <v>225000000</v>
      </c>
      <c r="G12" s="294">
        <f>'딜티켓 '!K15</f>
        <v>46280</v>
      </c>
      <c r="H12" s="173" t="s">
        <v>117</v>
      </c>
      <c r="I12" s="139" t="str">
        <f ca="1">'딜티켓 '!I15</f>
        <v>KB</v>
      </c>
    </row>
    <row r="13" spans="1:10" ht="17.25" customHeight="1">
      <c r="A13" s="312">
        <f>'딜티켓 '!J17</f>
        <v>0</v>
      </c>
      <c r="B13" s="291" t="str">
        <f>IF('딜티켓 '!B16="S",#REF!,"KRW")</f>
        <v>KRW</v>
      </c>
      <c r="C13" s="292">
        <f>IF('딜티켓 '!B16="S",'딜티켓 '!D16,INT('딜티켓 '!D16*'딜티켓 '!H16))</f>
        <v>0</v>
      </c>
      <c r="D13" s="293">
        <f>'딜티켓 '!H16</f>
        <v>0</v>
      </c>
      <c r="E13" s="291" t="str">
        <f>IF('딜티켓 '!B16="B",#REF!,"KRW")</f>
        <v>KRW</v>
      </c>
      <c r="F13" s="297">
        <f>IF('딜티켓 '!B16="B",'딜티켓 '!D16,INT('딜티켓 '!D16*'딜티켓 '!H16))</f>
        <v>0</v>
      </c>
      <c r="G13" s="294">
        <f>'딜티켓 '!K16</f>
        <v>0</v>
      </c>
      <c r="H13" s="173" t="s">
        <v>117</v>
      </c>
      <c r="I13" s="139" t="str">
        <f ca="1">'딜티켓 '!I16</f>
        <v>HSBC</v>
      </c>
      <c r="J13" s="295"/>
    </row>
    <row r="14" spans="1:10" ht="17.25" customHeight="1">
      <c r="A14" s="312" t="e">
        <f>#REF!</f>
        <v>#REF!</v>
      </c>
      <c r="B14" s="291" t="str">
        <f>IF('딜티켓 '!B17="S",'딜티켓 '!C17,"KRW")</f>
        <v>KRW</v>
      </c>
      <c r="C14" s="292">
        <f>IF('딜티켓 '!B17="S",'딜티켓 '!D17,INT('딜티켓 '!D17*'딜티켓 '!H17))</f>
        <v>0</v>
      </c>
      <c r="D14" s="293">
        <f>'딜티켓 '!H17</f>
        <v>0</v>
      </c>
      <c r="E14" s="291" t="str">
        <f>IF('딜티켓 '!B17="B",'딜티켓 '!C17,"KRW")</f>
        <v>KRW</v>
      </c>
      <c r="F14" s="297">
        <f>IF('딜티켓 '!B17="B",'딜티켓 '!D17,INT('딜티켓 '!D17*'딜티켓 '!H17))</f>
        <v>0</v>
      </c>
      <c r="G14" s="294">
        <f>'딜티켓 '!K17</f>
        <v>0</v>
      </c>
      <c r="H14" s="173" t="s">
        <v>117</v>
      </c>
      <c r="I14" s="139" t="str">
        <f ca="1">'딜티켓 '!I17</f>
        <v/>
      </c>
    </row>
    <row r="15" spans="1:10" ht="17.25" customHeight="1">
      <c r="A15" s="312">
        <f>'딜티켓 '!J18</f>
        <v>0</v>
      </c>
      <c r="B15" s="291" t="str">
        <f>IF('딜티켓 '!B18="S",'딜티켓 '!C18,"KRW")</f>
        <v>KRW</v>
      </c>
      <c r="C15" s="292">
        <f>IF('딜티켓 '!B18="S",'딜티켓 '!D18,INT('딜티켓 '!D18*'딜티켓 '!H18))</f>
        <v>0</v>
      </c>
      <c r="D15" s="293">
        <f>'딜티켓 '!H18</f>
        <v>0</v>
      </c>
      <c r="E15" s="291" t="str">
        <f>IF('딜티켓 '!B18="B",'딜티켓 '!C18,"KRW")</f>
        <v>KRW</v>
      </c>
      <c r="F15" s="297">
        <f>IF('딜티켓 '!B18="B",'딜티켓 '!D18,INT('딜티켓 '!D18*'딜티켓 '!H18))</f>
        <v>0</v>
      </c>
      <c r="G15" s="294">
        <f>'딜티켓 '!K18</f>
        <v>0</v>
      </c>
      <c r="H15" s="173" t="s">
        <v>117</v>
      </c>
      <c r="I15" s="139" t="str">
        <f ca="1">'딜티켓 '!I18</f>
        <v/>
      </c>
    </row>
    <row r="16" spans="1:10" ht="17.25" customHeight="1">
      <c r="A16" s="312">
        <f>'딜티켓 '!J19</f>
        <v>0</v>
      </c>
      <c r="B16" s="291" t="str">
        <f>IF('딜티켓 '!B19="S",'딜티켓 '!C19,"KRW")</f>
        <v>KRW</v>
      </c>
      <c r="C16" s="292">
        <f>IF('딜티켓 '!B19="S",'딜티켓 '!D19,INT('딜티켓 '!D19*'딜티켓 '!H19))</f>
        <v>0</v>
      </c>
      <c r="D16" s="293">
        <f>'딜티켓 '!H19</f>
        <v>0</v>
      </c>
      <c r="E16" s="291" t="str">
        <f>IF('딜티켓 '!B19="B",'딜티켓 '!C19,"KRW")</f>
        <v>KRW</v>
      </c>
      <c r="F16" s="297">
        <f>IF('딜티켓 '!B19="B",'딜티켓 '!D19,INT('딜티켓 '!D19*'딜티켓 '!H19))</f>
        <v>0</v>
      </c>
      <c r="G16" s="294">
        <f>'딜티켓 '!K19</f>
        <v>0</v>
      </c>
      <c r="H16" s="173" t="s">
        <v>117</v>
      </c>
      <c r="I16" s="139" t="str">
        <f ca="1">'딜티켓 '!I19</f>
        <v/>
      </c>
    </row>
    <row r="17" spans="1:10" ht="17.25" customHeight="1">
      <c r="A17" s="301">
        <f>'딜티켓 '!J23</f>
        <v>0</v>
      </c>
      <c r="B17" s="169" t="str">
        <f>IF('딜티켓 '!B20="S",'딜티켓 '!C20,"KRW")</f>
        <v>KRW</v>
      </c>
      <c r="C17" s="298">
        <f>IF('딜티켓 '!B20="S",'딜티켓 '!D20,INT('딜티켓 '!D20*'딜티켓 '!H20))</f>
        <v>0</v>
      </c>
      <c r="D17" s="299">
        <f>'딜티켓 '!H20</f>
        <v>0</v>
      </c>
      <c r="E17" s="169" t="str">
        <f>IF('딜티켓 '!B20="B",'딜티켓 '!C20,"KRW")</f>
        <v>KRW</v>
      </c>
      <c r="F17" s="300">
        <f>IF('딜티켓 '!B20="B",'딜티켓 '!D20,INT('딜티켓 '!D20*'딜티켓 '!H20))</f>
        <v>0</v>
      </c>
      <c r="G17" s="166">
        <f>'딜티켓 '!K20</f>
        <v>0</v>
      </c>
      <c r="H17" s="173" t="s">
        <v>117</v>
      </c>
      <c r="I17" s="139" t="str">
        <f ca="1">'딜티켓 '!I20</f>
        <v/>
      </c>
      <c r="J17" s="296"/>
    </row>
    <row r="18" spans="1:10" ht="17.25" customHeight="1">
      <c r="A18" s="301">
        <f>'딜티켓 '!J21</f>
        <v>0</v>
      </c>
      <c r="B18" s="169" t="str">
        <f>IF('딜티켓 '!B21="S",'딜티켓 '!C21,"KRW")</f>
        <v>KRW</v>
      </c>
      <c r="C18" s="298">
        <f>IF('딜티켓 '!B21="S",'딜티켓 '!D21,INT('딜티켓 '!D21*'딜티켓 '!H21))</f>
        <v>0</v>
      </c>
      <c r="D18" s="299">
        <f>'딜티켓 '!H21</f>
        <v>0</v>
      </c>
      <c r="E18" s="169" t="str">
        <f>IF('딜티켓 '!B21="B",'딜티켓 '!C21,"KRW")</f>
        <v>KRW</v>
      </c>
      <c r="F18" s="300">
        <f>IF('딜티켓 '!B21="B",'딜티켓 '!D21,INT('딜티켓 '!D21*'딜티켓 '!H21))</f>
        <v>0</v>
      </c>
      <c r="G18" s="166">
        <f>'딜티켓 '!K21</f>
        <v>0</v>
      </c>
      <c r="H18" s="173" t="s">
        <v>117</v>
      </c>
      <c r="I18" s="139" t="str">
        <f ca="1">'딜티켓 '!I21</f>
        <v/>
      </c>
    </row>
    <row r="19" spans="1:10" ht="17.25" customHeight="1">
      <c r="A19" s="301">
        <f>'딜티켓 '!J22</f>
        <v>0</v>
      </c>
      <c r="B19" s="169" t="str">
        <f>IF('딜티켓 '!B22="S",'딜티켓 '!C22,"KRW")</f>
        <v>KRW</v>
      </c>
      <c r="C19" s="298">
        <f>IF('딜티켓 '!B22="S",'딜티켓 '!D22,INT('딜티켓 '!D22*'딜티켓 '!H22))</f>
        <v>0</v>
      </c>
      <c r="D19" s="299">
        <f>'딜티켓 '!H22</f>
        <v>0</v>
      </c>
      <c r="E19" s="169" t="str">
        <f>IF('딜티켓 '!B22="B",'딜티켓 '!C22,"KRW")</f>
        <v>KRW</v>
      </c>
      <c r="F19" s="300">
        <f>IF('딜티켓 '!B22="B",'딜티켓 '!D22,INT('딜티켓 '!D22*'딜티켓 '!H22))</f>
        <v>0</v>
      </c>
      <c r="G19" s="166">
        <f>'딜티켓 '!K22</f>
        <v>0</v>
      </c>
      <c r="H19" s="173" t="s">
        <v>117</v>
      </c>
      <c r="I19" s="139" t="str">
        <f ca="1">'딜티켓 '!I22</f>
        <v/>
      </c>
    </row>
    <row r="20" spans="1:10" ht="17.25" customHeight="1">
      <c r="A20" s="301" t="e">
        <f>#REF!</f>
        <v>#REF!</v>
      </c>
      <c r="B20" s="169" t="str">
        <f>IF('딜티켓 '!B23="S",'딜티켓 '!C23,"KRW")</f>
        <v>KRW</v>
      </c>
      <c r="C20" s="298">
        <f>IF('딜티켓 '!B23="S",'딜티켓 '!D23,INT('딜티켓 '!D23*'딜티켓 '!H23))</f>
        <v>0</v>
      </c>
      <c r="D20" s="299">
        <f>'딜티켓 '!H23</f>
        <v>0</v>
      </c>
      <c r="E20" s="169" t="str">
        <f>IF('딜티켓 '!B23="B",'딜티켓 '!C23,"KRW")</f>
        <v>KRW</v>
      </c>
      <c r="F20" s="300">
        <f>IF('딜티켓 '!B23="B",'딜티켓 '!D23,INT('딜티켓 '!D23*'딜티켓 '!H23))</f>
        <v>0</v>
      </c>
      <c r="G20" s="166">
        <f>'딜티켓 '!K23</f>
        <v>0</v>
      </c>
      <c r="H20" s="173" t="s">
        <v>117</v>
      </c>
      <c r="I20" s="139" t="str">
        <f ca="1">'딜티켓 '!I23</f>
        <v/>
      </c>
    </row>
    <row r="21" spans="1:10" ht="17.25" customHeight="1">
      <c r="A21" s="301">
        <f>'딜티켓 '!J24</f>
        <v>0</v>
      </c>
      <c r="B21" s="169" t="str">
        <f>IF('딜티켓 '!B24="S",'딜티켓 '!C24,"KRW")</f>
        <v>KRW</v>
      </c>
      <c r="C21" s="298">
        <f>IF('딜티켓 '!B24="S",'딜티켓 '!D24,INT('딜티켓 '!D24*'딜티켓 '!H24))</f>
        <v>0</v>
      </c>
      <c r="D21" s="299">
        <f>'딜티켓 '!H24</f>
        <v>0</v>
      </c>
      <c r="E21" s="169" t="str">
        <f>IF('딜티켓 '!B24="B",'딜티켓 '!C24,"KRW")</f>
        <v>KRW</v>
      </c>
      <c r="F21" s="300">
        <f>IF('딜티켓 '!B24="B",'딜티켓 '!D24,INT('딜티켓 '!D24*'딜티켓 '!H24))</f>
        <v>0</v>
      </c>
      <c r="G21" s="166">
        <f>'딜티켓 '!K24</f>
        <v>0</v>
      </c>
      <c r="H21" s="173" t="s">
        <v>117</v>
      </c>
      <c r="I21" s="139" t="str">
        <f ca="1">'딜티켓 '!I24</f>
        <v/>
      </c>
      <c r="J21" s="296"/>
    </row>
    <row r="22" spans="1:10" ht="17.25" customHeight="1">
      <c r="A22" s="301" t="e">
        <f>#REF!</f>
        <v>#REF!</v>
      </c>
      <c r="B22" s="169" t="e">
        <f>IF(#REF!="S",#REF!,"KRW")</f>
        <v>#REF!</v>
      </c>
      <c r="C22" s="298" t="e">
        <f>IF(#REF!="S",#REF!,INT(#REF!*#REF!))</f>
        <v>#REF!</v>
      </c>
      <c r="D22" s="299" t="e">
        <f>#REF!</f>
        <v>#REF!</v>
      </c>
      <c r="E22" s="169" t="e">
        <f>IF(#REF!="B",#REF!,"KRW")</f>
        <v>#REF!</v>
      </c>
      <c r="F22" s="300" t="e">
        <f>IF(#REF!="B",#REF!,INT(#REF!*#REF!))</f>
        <v>#REF!</v>
      </c>
      <c r="G22" s="166" t="e">
        <f>#REF!</f>
        <v>#REF!</v>
      </c>
      <c r="H22" s="173" t="s">
        <v>117</v>
      </c>
      <c r="I22" s="139" t="e">
        <f>#REF!</f>
        <v>#REF!</v>
      </c>
      <c r="J22" s="296"/>
    </row>
    <row r="23" spans="1:10" ht="17.25" customHeight="1">
      <c r="A23" s="301"/>
      <c r="B23" s="169"/>
      <c r="C23" s="298"/>
      <c r="D23" s="299"/>
      <c r="E23" s="169"/>
      <c r="F23" s="300"/>
      <c r="G23" s="166"/>
      <c r="H23" s="173"/>
    </row>
    <row r="24" spans="1:10" ht="17.25" customHeight="1">
      <c r="A24" s="169"/>
      <c r="B24" s="169"/>
      <c r="C24" s="302" t="s">
        <v>118</v>
      </c>
      <c r="D24" s="303"/>
      <c r="E24" s="169"/>
      <c r="F24" s="304"/>
      <c r="G24" s="173"/>
      <c r="H24" s="173"/>
    </row>
    <row r="25" spans="1:10" ht="17.25" customHeight="1">
      <c r="A25" s="169"/>
      <c r="B25" s="169"/>
      <c r="C25" s="302"/>
      <c r="D25" s="303"/>
      <c r="E25" s="169"/>
      <c r="F25" s="305"/>
      <c r="G25" s="173"/>
      <c r="H25" s="173"/>
    </row>
    <row r="26" spans="1:10" ht="17.25" customHeight="1">
      <c r="A26" s="169"/>
      <c r="B26" s="169"/>
      <c r="C26" s="305"/>
      <c r="D26" s="303"/>
      <c r="E26" s="169"/>
      <c r="F26" s="305"/>
      <c r="G26" s="173"/>
      <c r="H26" s="173"/>
    </row>
    <row r="27" spans="1:10" ht="17.25" customHeight="1">
      <c r="A27" s="169"/>
      <c r="B27" s="169"/>
      <c r="C27" s="305"/>
      <c r="D27" s="303"/>
      <c r="E27" s="169"/>
      <c r="F27" s="305"/>
      <c r="G27" s="173"/>
      <c r="H27" s="173"/>
    </row>
    <row r="28" spans="1:10" ht="17.25" customHeight="1">
      <c r="A28" s="169"/>
      <c r="B28" s="169"/>
      <c r="C28" s="304"/>
      <c r="D28" s="303"/>
      <c r="E28" s="169"/>
      <c r="F28" s="305"/>
      <c r="G28" s="173"/>
      <c r="H28" s="173"/>
    </row>
    <row r="29" spans="1:10" ht="17.25" customHeight="1">
      <c r="A29" s="169"/>
      <c r="B29" s="169"/>
      <c r="C29" s="305"/>
      <c r="D29" s="303"/>
      <c r="E29" s="169"/>
      <c r="F29" s="304"/>
      <c r="G29" s="173"/>
      <c r="H29" s="173"/>
    </row>
    <row r="30" spans="1:10" ht="17.25" customHeight="1">
      <c r="A30" s="169"/>
      <c r="B30" s="169"/>
      <c r="C30" s="304"/>
      <c r="D30" s="303"/>
      <c r="E30" s="169"/>
      <c r="F30" s="305"/>
      <c r="G30" s="173"/>
      <c r="H30" s="173"/>
    </row>
    <row r="31" spans="1:10" ht="17.25" customHeight="1">
      <c r="A31" s="169"/>
      <c r="B31" s="169"/>
      <c r="C31" s="305"/>
      <c r="D31" s="307"/>
      <c r="E31" s="169" t="s">
        <v>126</v>
      </c>
      <c r="F31" s="304"/>
      <c r="G31" s="173"/>
      <c r="H31" s="173"/>
    </row>
    <row r="32" spans="1:10" ht="17.25" customHeight="1">
      <c r="A32" s="169"/>
      <c r="B32" s="169"/>
      <c r="C32" s="304"/>
      <c r="D32" s="307"/>
      <c r="E32" s="169"/>
      <c r="F32" s="305"/>
      <c r="G32" s="173"/>
      <c r="H32" s="173"/>
    </row>
    <row r="33" spans="1:8" ht="17.25" customHeight="1">
      <c r="A33" s="169"/>
      <c r="B33" s="169"/>
      <c r="C33" s="308"/>
      <c r="D33" s="303"/>
      <c r="E33" s="169"/>
      <c r="F33" s="305"/>
      <c r="G33" s="173"/>
      <c r="H33" s="173"/>
    </row>
    <row r="34" spans="1:8" ht="17.25" customHeight="1">
      <c r="A34" s="169"/>
      <c r="B34" s="169"/>
      <c r="C34" s="308"/>
      <c r="D34" s="303"/>
      <c r="E34" s="169"/>
      <c r="F34" s="304"/>
      <c r="G34" s="173"/>
      <c r="H34" s="173"/>
    </row>
    <row r="35" spans="1:8" ht="15.75" customHeight="1">
      <c r="A35" s="180" t="s">
        <v>127</v>
      </c>
      <c r="F35" s="180"/>
    </row>
    <row r="37" spans="1:8" ht="15.75" customHeight="1">
      <c r="A37" s="139" t="s">
        <v>120</v>
      </c>
      <c r="E37" s="139" t="s">
        <v>114</v>
      </c>
    </row>
    <row r="38" spans="1:8" ht="15.75" customHeight="1">
      <c r="A38" s="139" t="s">
        <v>121</v>
      </c>
    </row>
    <row r="40" spans="1:8" ht="15.75" customHeight="1">
      <c r="A40" s="154"/>
      <c r="B40" s="154"/>
      <c r="E40" s="154"/>
      <c r="F40" s="154"/>
    </row>
    <row r="41" spans="1:8" ht="15.75" customHeight="1">
      <c r="A41" s="139" t="s">
        <v>51</v>
      </c>
      <c r="E41" s="139" t="s">
        <v>51</v>
      </c>
    </row>
    <row r="43" spans="1:8" ht="19.5" customHeight="1">
      <c r="A43" s="184" t="s">
        <v>122</v>
      </c>
    </row>
  </sheetData>
  <mergeCells count="8">
    <mergeCell ref="A2:G2"/>
    <mergeCell ref="G8:H8"/>
    <mergeCell ref="A9:A10"/>
    <mergeCell ref="B9:C9"/>
    <mergeCell ref="D9:D10"/>
    <mergeCell ref="E9:F9"/>
    <mergeCell ref="G9:G10"/>
    <mergeCell ref="H9:H10"/>
  </mergeCells>
  <phoneticPr fontId="9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FF99"/>
  </sheetPr>
  <dimension ref="A2:IW41"/>
  <sheetViews>
    <sheetView zoomScale="90" zoomScaleNormal="90" workbookViewId="0">
      <selection activeCell="C30" sqref="C30"/>
    </sheetView>
  </sheetViews>
  <sheetFormatPr defaultColWidth="8.9140625" defaultRowHeight="15.5"/>
  <cols>
    <col min="1" max="1" width="9.9140625" style="139" customWidth="1"/>
    <col min="2" max="2" width="5.9140625" style="139" customWidth="1"/>
    <col min="3" max="3" width="16.58203125" style="139" customWidth="1"/>
    <col min="4" max="4" width="8.33203125" style="139" customWidth="1"/>
    <col min="5" max="5" width="6.25" style="139" customWidth="1"/>
    <col min="6" max="6" width="16.33203125" style="139" customWidth="1"/>
    <col min="7" max="7" width="9.4140625" style="139" customWidth="1"/>
    <col min="8" max="8" width="9.9140625" style="139" customWidth="1"/>
    <col min="9" max="9" width="8.9140625" style="139"/>
    <col min="10" max="10" width="10.08203125" style="139" customWidth="1"/>
    <col min="11" max="257" width="8.9140625" style="139"/>
  </cols>
  <sheetData>
    <row r="2" spans="1:10" ht="20.25" customHeight="1">
      <c r="A2" s="354" t="s">
        <v>33</v>
      </c>
      <c r="B2" s="354"/>
      <c r="C2" s="354"/>
      <c r="D2" s="354"/>
      <c r="E2" s="354"/>
      <c r="F2" s="354"/>
      <c r="G2" s="354"/>
      <c r="H2" s="175"/>
    </row>
    <row r="3" spans="1:10" ht="15.75" customHeight="1">
      <c r="A3" s="141"/>
    </row>
    <row r="4" spans="1:10" ht="16.5" customHeight="1">
      <c r="A4" s="143" t="s">
        <v>34</v>
      </c>
      <c r="B4" s="144"/>
      <c r="C4" s="144" t="s">
        <v>114</v>
      </c>
      <c r="D4" s="145"/>
      <c r="E4" s="145"/>
      <c r="F4" s="145"/>
      <c r="G4" s="145"/>
      <c r="H4" s="146"/>
    </row>
    <row r="5" spans="1:10" ht="16.5" customHeight="1">
      <c r="A5" s="147" t="s">
        <v>35</v>
      </c>
      <c r="B5" s="148"/>
      <c r="C5" s="148"/>
      <c r="H5" s="150"/>
    </row>
    <row r="6" spans="1:10" ht="16.5" customHeight="1">
      <c r="A6" s="147" t="s">
        <v>39</v>
      </c>
      <c r="B6" s="148"/>
      <c r="C6" s="148" t="s">
        <v>61</v>
      </c>
      <c r="H6" s="150"/>
    </row>
    <row r="7" spans="1:10" ht="16.5" customHeight="1">
      <c r="A7" s="151" t="s">
        <v>41</v>
      </c>
      <c r="B7" s="152"/>
      <c r="C7" s="153" t="s">
        <v>42</v>
      </c>
      <c r="D7" s="154"/>
      <c r="E7" s="154"/>
      <c r="F7" s="154"/>
      <c r="G7" s="154"/>
      <c r="H7" s="155"/>
    </row>
    <row r="8" spans="1:10" ht="16.5" customHeight="1">
      <c r="A8" s="156"/>
      <c r="B8" s="156"/>
      <c r="C8" s="156"/>
      <c r="D8" s="156"/>
      <c r="E8" s="156"/>
      <c r="F8" s="157" t="s">
        <v>60</v>
      </c>
      <c r="G8" s="366">
        <f ca="1">TODAY()</f>
        <v>46221</v>
      </c>
      <c r="H8" s="366"/>
    </row>
    <row r="9" spans="1:10" ht="16.5" customHeight="1">
      <c r="A9" s="353" t="s">
        <v>43</v>
      </c>
      <c r="B9" s="355" t="s">
        <v>115</v>
      </c>
      <c r="C9" s="355"/>
      <c r="D9" s="353" t="s">
        <v>44</v>
      </c>
      <c r="E9" s="356" t="s">
        <v>116</v>
      </c>
      <c r="F9" s="356"/>
      <c r="G9" s="353" t="s">
        <v>45</v>
      </c>
      <c r="H9" s="353" t="s">
        <v>46</v>
      </c>
    </row>
    <row r="10" spans="1:10" ht="15.75" customHeight="1">
      <c r="A10" s="353"/>
      <c r="B10" s="160" t="s">
        <v>49</v>
      </c>
      <c r="C10" s="160" t="s">
        <v>50</v>
      </c>
      <c r="D10" s="353"/>
      <c r="E10" s="1" t="s">
        <v>49</v>
      </c>
      <c r="F10" s="161" t="s">
        <v>50</v>
      </c>
      <c r="G10" s="353"/>
      <c r="H10" s="353"/>
    </row>
    <row r="11" spans="1:10" ht="17.25" customHeight="1">
      <c r="A11" s="313">
        <f>'딜티켓 '!J48</f>
        <v>0</v>
      </c>
      <c r="B11" s="169" t="s">
        <v>124</v>
      </c>
      <c r="C11" s="298">
        <f>IF('딜티켓 '!B48="S",'딜티켓 '!D48,INT('딜티켓 '!D48*'딜티켓 '!H48))</f>
        <v>0</v>
      </c>
      <c r="D11" s="299">
        <f>'딜티켓 '!H48</f>
        <v>0</v>
      </c>
      <c r="E11" s="169" t="s">
        <v>24</v>
      </c>
      <c r="F11" s="298">
        <f>IF('딜티켓 '!B48="B",'딜티켓 '!D48,INT('딜티켓 '!D48*'딜티켓 '!H48))</f>
        <v>0</v>
      </c>
      <c r="G11" s="166">
        <f>'딜티켓 '!K48</f>
        <v>0</v>
      </c>
      <c r="H11" s="173" t="s">
        <v>117</v>
      </c>
    </row>
    <row r="12" spans="1:10" ht="17.25" customHeight="1">
      <c r="A12" s="313">
        <f>'딜티켓 '!J49</f>
        <v>0</v>
      </c>
      <c r="B12" s="169" t="s">
        <v>124</v>
      </c>
      <c r="C12" s="298">
        <f>IF('딜티켓 '!B49="S",'딜티켓 '!D49,INT('딜티켓 '!D49*'딜티켓 '!H49))</f>
        <v>0</v>
      </c>
      <c r="D12" s="299">
        <f>'딜티켓 '!H49</f>
        <v>0</v>
      </c>
      <c r="E12" s="169" t="s">
        <v>24</v>
      </c>
      <c r="F12" s="298">
        <f>IF('딜티켓 '!B49="B",'딜티켓 '!D49,INT('딜티켓 '!D49*'딜티켓 '!H49))</f>
        <v>0</v>
      </c>
      <c r="G12" s="166">
        <f>'딜티켓 '!K49</f>
        <v>0</v>
      </c>
      <c r="H12" s="173" t="s">
        <v>117</v>
      </c>
    </row>
    <row r="13" spans="1:10" ht="17.25" customHeight="1">
      <c r="A13" s="313">
        <f>'딜티켓 '!J50</f>
        <v>0</v>
      </c>
      <c r="B13" s="169" t="s">
        <v>124</v>
      </c>
      <c r="C13" s="298">
        <f>IF('딜티켓 '!B50="S",'딜티켓 '!D50,INT('딜티켓 '!D50*'딜티켓 '!H50))</f>
        <v>0</v>
      </c>
      <c r="D13" s="299">
        <f>'딜티켓 '!H50</f>
        <v>0</v>
      </c>
      <c r="E13" s="169" t="s">
        <v>24</v>
      </c>
      <c r="F13" s="298">
        <f>IF('딜티켓 '!B50="B",'딜티켓 '!D50,INT('딜티켓 '!D50*'딜티켓 '!H50))</f>
        <v>0</v>
      </c>
      <c r="G13" s="166">
        <f>'딜티켓 '!K50</f>
        <v>0</v>
      </c>
      <c r="H13" s="173" t="s">
        <v>117</v>
      </c>
      <c r="J13" s="295"/>
    </row>
    <row r="14" spans="1:10" ht="17.25" customHeight="1">
      <c r="A14" s="313">
        <f>'딜티켓 '!J51</f>
        <v>0</v>
      </c>
      <c r="B14" s="169" t="s">
        <v>24</v>
      </c>
      <c r="C14" s="298">
        <f>IF('딜티켓 '!B51="S",'딜티켓 '!D51,INT('딜티켓 '!D51*'딜티켓 '!H51))</f>
        <v>0</v>
      </c>
      <c r="D14" s="299">
        <f>'딜티켓 '!H51</f>
        <v>0</v>
      </c>
      <c r="E14" s="169" t="s">
        <v>24</v>
      </c>
      <c r="F14" s="300">
        <f>IF('딜티켓 '!B51="B",'딜티켓 '!D51,INT('딜티켓 '!D51*'딜티켓 '!H51))</f>
        <v>0</v>
      </c>
      <c r="G14" s="166">
        <f>'딜티켓 '!K51</f>
        <v>0</v>
      </c>
      <c r="H14" s="173" t="s">
        <v>117</v>
      </c>
    </row>
    <row r="15" spans="1:10" ht="17.25" customHeight="1">
      <c r="A15" s="313">
        <f>'딜티켓 '!J52</f>
        <v>0</v>
      </c>
      <c r="B15" s="169" t="s">
        <v>24</v>
      </c>
      <c r="C15" s="298">
        <f>IF('딜티켓 '!B52="S",'딜티켓 '!D52,INT('딜티켓 '!D52*'딜티켓 '!H52))</f>
        <v>0</v>
      </c>
      <c r="D15" s="299">
        <f>'딜티켓 '!H52</f>
        <v>0</v>
      </c>
      <c r="E15" s="169" t="s">
        <v>24</v>
      </c>
      <c r="F15" s="300">
        <f>IF('딜티켓 '!B52="B",'딜티켓 '!D52,INT('딜티켓 '!D52*'딜티켓 '!H52))</f>
        <v>0</v>
      </c>
      <c r="G15" s="166">
        <f>'딜티켓 '!K52</f>
        <v>0</v>
      </c>
      <c r="H15" s="173" t="s">
        <v>117</v>
      </c>
    </row>
    <row r="16" spans="1:10" ht="17.25" customHeight="1">
      <c r="A16" s="313">
        <f>'딜티켓 '!J53</f>
        <v>0</v>
      </c>
      <c r="B16" s="169" t="s">
        <v>24</v>
      </c>
      <c r="C16" s="298">
        <f>IF('딜티켓 '!B53="S",'딜티켓 '!D53,INT('딜티켓 '!D53*'딜티켓 '!H53))</f>
        <v>0</v>
      </c>
      <c r="D16" s="299">
        <f>'딜티켓 '!H53</f>
        <v>0</v>
      </c>
      <c r="E16" s="169" t="s">
        <v>24</v>
      </c>
      <c r="F16" s="300">
        <f>IF('딜티켓 '!B53="B",'딜티켓 '!D53,INT('딜티켓 '!D53*'딜티켓 '!H53))</f>
        <v>0</v>
      </c>
      <c r="G16" s="166">
        <f>'딜티켓 '!K53</f>
        <v>0</v>
      </c>
      <c r="H16" s="173" t="s">
        <v>117</v>
      </c>
    </row>
    <row r="17" spans="1:10" ht="17.25" customHeight="1">
      <c r="A17" s="169"/>
      <c r="B17" s="169"/>
      <c r="C17" s="305"/>
      <c r="D17" s="303"/>
      <c r="E17" s="169"/>
      <c r="F17" s="304"/>
      <c r="G17" s="173"/>
      <c r="H17" s="173"/>
      <c r="J17" s="296"/>
    </row>
    <row r="18" spans="1:10" ht="17.25" customHeight="1">
      <c r="A18" s="169"/>
      <c r="B18" s="169"/>
      <c r="C18" s="302" t="s">
        <v>118</v>
      </c>
      <c r="D18" s="303"/>
      <c r="E18" s="169"/>
      <c r="F18" s="305"/>
      <c r="G18" s="173"/>
      <c r="H18" s="173"/>
    </row>
    <row r="19" spans="1:10" ht="17.25" customHeight="1">
      <c r="A19" s="169"/>
      <c r="B19" s="169"/>
      <c r="C19" s="305"/>
      <c r="D19" s="303"/>
      <c r="E19" s="169"/>
      <c r="F19" s="304"/>
      <c r="G19" s="173"/>
      <c r="H19" s="173"/>
    </row>
    <row r="20" spans="1:10" ht="17.25" customHeight="1">
      <c r="A20" s="169"/>
      <c r="B20" s="169"/>
      <c r="C20" s="305"/>
      <c r="D20" s="303"/>
      <c r="E20" s="169"/>
      <c r="F20" s="304"/>
      <c r="G20" s="173"/>
      <c r="H20" s="173"/>
      <c r="J20" s="296"/>
    </row>
    <row r="21" spans="1:10" ht="17.25" customHeight="1">
      <c r="A21" s="169"/>
      <c r="B21" s="169"/>
      <c r="C21" s="304"/>
      <c r="D21" s="303"/>
      <c r="E21" s="169"/>
      <c r="F21" s="305"/>
      <c r="G21" s="173"/>
      <c r="H21" s="173"/>
    </row>
    <row r="22" spans="1:10" ht="17.25" customHeight="1">
      <c r="A22" s="169"/>
      <c r="B22" s="169"/>
      <c r="C22" s="305"/>
      <c r="D22" s="303"/>
      <c r="E22" s="169"/>
      <c r="F22" s="304"/>
      <c r="G22" s="173"/>
      <c r="H22" s="173"/>
    </row>
    <row r="23" spans="1:10" ht="17.25" customHeight="1">
      <c r="A23" s="169"/>
      <c r="B23" s="169"/>
      <c r="C23" s="302"/>
      <c r="D23" s="303"/>
      <c r="E23" s="169"/>
      <c r="F23" s="305"/>
      <c r="G23" s="173"/>
      <c r="H23" s="173"/>
    </row>
    <row r="24" spans="1:10" ht="17.25" customHeight="1">
      <c r="A24" s="169"/>
      <c r="B24" s="169"/>
      <c r="C24" s="305"/>
      <c r="D24" s="303"/>
      <c r="E24" s="169"/>
      <c r="F24" s="305"/>
      <c r="G24" s="173"/>
      <c r="H24" s="173"/>
    </row>
    <row r="25" spans="1:10" ht="17.25" customHeight="1">
      <c r="A25" s="169"/>
      <c r="B25" s="169"/>
      <c r="C25" s="305"/>
      <c r="D25" s="303"/>
      <c r="E25" s="169"/>
      <c r="F25" s="305"/>
      <c r="G25" s="173"/>
      <c r="H25" s="173"/>
    </row>
    <row r="26" spans="1:10" ht="17.25" customHeight="1">
      <c r="A26" s="169"/>
      <c r="B26" s="169"/>
      <c r="C26" s="304"/>
      <c r="D26" s="303"/>
      <c r="E26" s="169"/>
      <c r="F26" s="305"/>
      <c r="G26" s="173"/>
      <c r="H26" s="173"/>
    </row>
    <row r="27" spans="1:10" ht="17.25" customHeight="1">
      <c r="A27" s="169"/>
      <c r="B27" s="169"/>
      <c r="C27" s="305"/>
      <c r="D27" s="303"/>
      <c r="E27" s="169"/>
      <c r="F27" s="304"/>
      <c r="G27" s="173"/>
      <c r="H27" s="173"/>
    </row>
    <row r="28" spans="1:10" ht="17.25" customHeight="1">
      <c r="A28" s="169"/>
      <c r="B28" s="169"/>
      <c r="C28" s="304"/>
      <c r="D28" s="303"/>
      <c r="E28" s="169"/>
      <c r="F28" s="305"/>
      <c r="G28" s="173"/>
      <c r="H28" s="173"/>
    </row>
    <row r="29" spans="1:10" ht="17.25" customHeight="1">
      <c r="A29" s="169"/>
      <c r="B29" s="169"/>
      <c r="C29" s="305"/>
      <c r="D29" s="307"/>
      <c r="E29" s="169"/>
      <c r="F29" s="304"/>
      <c r="G29" s="173"/>
      <c r="H29" s="173"/>
    </row>
    <row r="30" spans="1:10" ht="17.25" customHeight="1">
      <c r="A30" s="169"/>
      <c r="B30" s="169"/>
      <c r="C30" s="304"/>
      <c r="D30" s="307"/>
      <c r="E30" s="169"/>
      <c r="F30" s="305"/>
      <c r="G30" s="173"/>
      <c r="H30" s="173"/>
    </row>
    <row r="31" spans="1:10" ht="17.25" customHeight="1">
      <c r="A31" s="169"/>
      <c r="B31" s="169"/>
      <c r="C31" s="308"/>
      <c r="D31" s="303"/>
      <c r="E31" s="169"/>
      <c r="F31" s="305"/>
      <c r="G31" s="173"/>
      <c r="H31" s="173"/>
    </row>
    <row r="32" spans="1:10" ht="17.25" customHeight="1">
      <c r="A32" s="169"/>
      <c r="B32" s="169"/>
      <c r="C32" s="308"/>
      <c r="D32" s="303"/>
      <c r="E32" s="169"/>
      <c r="F32" s="304"/>
      <c r="G32" s="173"/>
      <c r="H32" s="173"/>
    </row>
    <row r="33" spans="1:6" ht="15.75" customHeight="1">
      <c r="A33" s="180" t="s">
        <v>127</v>
      </c>
      <c r="F33" s="180"/>
    </row>
    <row r="35" spans="1:6" ht="15.75" customHeight="1">
      <c r="A35" s="139" t="s">
        <v>120</v>
      </c>
      <c r="E35" s="139" t="s">
        <v>114</v>
      </c>
    </row>
    <row r="36" spans="1:6" ht="15.75" customHeight="1">
      <c r="A36" s="139" t="s">
        <v>121</v>
      </c>
    </row>
    <row r="38" spans="1:6" ht="15.75" customHeight="1">
      <c r="A38" s="154"/>
      <c r="B38" s="154"/>
      <c r="E38" s="154"/>
      <c r="F38" s="154"/>
    </row>
    <row r="39" spans="1:6" ht="15.75" customHeight="1">
      <c r="A39" s="139" t="s">
        <v>51</v>
      </c>
      <c r="E39" s="139" t="s">
        <v>51</v>
      </c>
    </row>
    <row r="41" spans="1:6" ht="19.5" customHeight="1">
      <c r="A41" s="184" t="s">
        <v>122</v>
      </c>
    </row>
  </sheetData>
  <mergeCells count="8">
    <mergeCell ref="A2:G2"/>
    <mergeCell ref="G8:H8"/>
    <mergeCell ref="A9:A10"/>
    <mergeCell ref="B9:C9"/>
    <mergeCell ref="D9:D10"/>
    <mergeCell ref="E9:F9"/>
    <mergeCell ref="G9:G10"/>
    <mergeCell ref="H9:H10"/>
  </mergeCells>
  <phoneticPr fontId="9" type="noConversion"/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1190"/>
  <sheetViews>
    <sheetView topLeftCell="A716" zoomScaleNormal="100" workbookViewId="0">
      <selection activeCell="A716" sqref="A1:A1048576"/>
    </sheetView>
  </sheetViews>
  <sheetFormatPr defaultColWidth="9" defaultRowHeight="14"/>
  <cols>
    <col min="1" max="2" width="9.58203125" style="149" customWidth="1"/>
  </cols>
  <sheetData>
    <row r="1" spans="1:2" ht="18" customHeight="1">
      <c r="A1" s="314" t="s">
        <v>43</v>
      </c>
      <c r="B1" s="315" t="s">
        <v>47</v>
      </c>
    </row>
    <row r="2" spans="1:2" ht="16.5" customHeight="1">
      <c r="A2" s="316">
        <v>28019</v>
      </c>
      <c r="B2" s="316" t="s">
        <v>128</v>
      </c>
    </row>
    <row r="3" spans="1:2" ht="16.5" customHeight="1">
      <c r="A3" s="317">
        <v>28024</v>
      </c>
      <c r="B3" s="317" t="s">
        <v>98</v>
      </c>
    </row>
    <row r="4" spans="1:2" ht="16.5" customHeight="1">
      <c r="A4" s="317">
        <v>28025</v>
      </c>
      <c r="B4" s="317" t="s">
        <v>98</v>
      </c>
    </row>
    <row r="5" spans="1:2" ht="16.5" customHeight="1">
      <c r="A5" s="317">
        <v>28032</v>
      </c>
      <c r="B5" s="317" t="s">
        <v>98</v>
      </c>
    </row>
    <row r="6" spans="1:2" ht="16.5" customHeight="1">
      <c r="A6" s="317">
        <v>28036</v>
      </c>
      <c r="B6" s="317" t="s">
        <v>98</v>
      </c>
    </row>
    <row r="7" spans="1:2" ht="16.5" customHeight="1">
      <c r="A7" s="317">
        <v>28041</v>
      </c>
      <c r="B7" s="317" t="s">
        <v>98</v>
      </c>
    </row>
    <row r="8" spans="1:2" ht="16.5" customHeight="1">
      <c r="A8" s="317">
        <v>66301</v>
      </c>
      <c r="B8" s="317" t="s">
        <v>98</v>
      </c>
    </row>
    <row r="9" spans="1:2" ht="16.5" customHeight="1">
      <c r="A9" s="317">
        <v>66361</v>
      </c>
      <c r="B9" s="317" t="s">
        <v>128</v>
      </c>
    </row>
    <row r="10" spans="1:2" ht="16.5" customHeight="1">
      <c r="A10" s="317">
        <v>66381</v>
      </c>
      <c r="B10" s="317" t="s">
        <v>98</v>
      </c>
    </row>
    <row r="11" spans="1:2" ht="16.5" customHeight="1">
      <c r="A11" s="317">
        <v>66391</v>
      </c>
      <c r="B11" s="317" t="s">
        <v>98</v>
      </c>
    </row>
    <row r="12" spans="1:2" ht="16.5" customHeight="1">
      <c r="A12" s="317">
        <v>66431</v>
      </c>
      <c r="B12" s="317" t="s">
        <v>98</v>
      </c>
    </row>
    <row r="13" spans="1:2" ht="16.5" customHeight="1">
      <c r="A13" s="317">
        <v>66441</v>
      </c>
      <c r="B13" s="317" t="s">
        <v>98</v>
      </c>
    </row>
    <row r="14" spans="1:2" ht="16.5" customHeight="1">
      <c r="A14" s="317">
        <v>66461</v>
      </c>
      <c r="B14" s="317" t="s">
        <v>125</v>
      </c>
    </row>
    <row r="15" spans="1:2" ht="16.5" customHeight="1">
      <c r="A15" s="317">
        <v>66471</v>
      </c>
      <c r="B15" s="317" t="s">
        <v>125</v>
      </c>
    </row>
    <row r="16" spans="1:2" ht="16.5" customHeight="1">
      <c r="A16" s="317">
        <v>66481</v>
      </c>
      <c r="B16" s="317" t="s">
        <v>125</v>
      </c>
    </row>
    <row r="17" spans="1:2" ht="16.5" customHeight="1">
      <c r="A17" s="317">
        <v>66482</v>
      </c>
      <c r="B17" s="317" t="s">
        <v>125</v>
      </c>
    </row>
    <row r="18" spans="1:2" ht="16.5" customHeight="1">
      <c r="A18" s="317">
        <v>66492</v>
      </c>
      <c r="B18" s="317" t="s">
        <v>129</v>
      </c>
    </row>
    <row r="19" spans="1:2" ht="16.5" customHeight="1">
      <c r="A19" s="317">
        <v>17900</v>
      </c>
      <c r="B19" s="317" t="s">
        <v>129</v>
      </c>
    </row>
    <row r="20" spans="1:2" ht="16.5" customHeight="1">
      <c r="A20" s="317">
        <v>18000</v>
      </c>
      <c r="B20" s="317" t="s">
        <v>129</v>
      </c>
    </row>
    <row r="21" spans="1:2" ht="16.5" customHeight="1">
      <c r="A21" s="317">
        <v>67900</v>
      </c>
      <c r="B21" s="317" t="s">
        <v>130</v>
      </c>
    </row>
    <row r="22" spans="1:2" ht="16.5" customHeight="1">
      <c r="A22" s="317">
        <v>67000</v>
      </c>
      <c r="B22" s="317" t="s">
        <v>129</v>
      </c>
    </row>
    <row r="23" spans="1:2" ht="16.5" customHeight="1">
      <c r="A23" s="317">
        <v>15623</v>
      </c>
      <c r="B23" s="317" t="s">
        <v>129</v>
      </c>
    </row>
    <row r="24" spans="1:2" ht="16.5" customHeight="1">
      <c r="A24" s="317">
        <v>55914</v>
      </c>
      <c r="B24" s="317" t="s">
        <v>129</v>
      </c>
    </row>
    <row r="25" spans="1:2" ht="16.5" customHeight="1">
      <c r="A25" s="317">
        <v>63141</v>
      </c>
      <c r="B25" s="317" t="s">
        <v>130</v>
      </c>
    </row>
    <row r="26" spans="1:2" ht="16.5" customHeight="1">
      <c r="A26" s="317">
        <v>63331</v>
      </c>
      <c r="B26" s="317" t="s">
        <v>98</v>
      </c>
    </row>
    <row r="27" spans="1:2" ht="16.5" customHeight="1">
      <c r="A27" s="317">
        <v>63380</v>
      </c>
      <c r="B27" s="317" t="s">
        <v>30</v>
      </c>
    </row>
    <row r="28" spans="1:2" ht="16.5" customHeight="1">
      <c r="A28" s="317">
        <v>65211</v>
      </c>
      <c r="B28" s="317" t="s">
        <v>30</v>
      </c>
    </row>
    <row r="29" spans="1:2" ht="16.5" customHeight="1">
      <c r="A29" s="317">
        <v>65311</v>
      </c>
      <c r="B29" s="317" t="s">
        <v>30</v>
      </c>
    </row>
    <row r="30" spans="1:2" ht="16.5" customHeight="1">
      <c r="A30" s="317">
        <v>65650</v>
      </c>
      <c r="B30" s="317" t="s">
        <v>129</v>
      </c>
    </row>
    <row r="31" spans="1:2" ht="16.5" customHeight="1">
      <c r="A31" s="317">
        <v>65680</v>
      </c>
      <c r="B31" s="317" t="s">
        <v>129</v>
      </c>
    </row>
    <row r="32" spans="1:2" ht="16.5" customHeight="1">
      <c r="A32" s="317">
        <v>65681</v>
      </c>
      <c r="B32" s="317" t="s">
        <v>129</v>
      </c>
    </row>
    <row r="33" spans="1:2" ht="16.5" customHeight="1">
      <c r="A33" s="317">
        <v>66100</v>
      </c>
      <c r="B33" s="317" t="s">
        <v>129</v>
      </c>
    </row>
    <row r="34" spans="1:2" ht="16.5" customHeight="1">
      <c r="A34" s="317">
        <v>66101</v>
      </c>
      <c r="B34" s="317" t="s">
        <v>129</v>
      </c>
    </row>
    <row r="35" spans="1:2" ht="16.5" customHeight="1">
      <c r="A35" s="317">
        <v>66400</v>
      </c>
      <c r="B35" s="317" t="s">
        <v>129</v>
      </c>
    </row>
    <row r="36" spans="1:2" ht="16.5" customHeight="1">
      <c r="A36" s="317" t="s">
        <v>131</v>
      </c>
      <c r="B36" s="317" t="s">
        <v>31</v>
      </c>
    </row>
    <row r="37" spans="1:2" ht="16.5" customHeight="1">
      <c r="A37" s="317">
        <v>1217</v>
      </c>
      <c r="B37" s="317" t="s">
        <v>125</v>
      </c>
    </row>
    <row r="38" spans="1:2" ht="16.5" customHeight="1">
      <c r="A38" s="317">
        <v>1512</v>
      </c>
      <c r="B38" s="317" t="s">
        <v>129</v>
      </c>
    </row>
    <row r="39" spans="1:2" ht="16.5" customHeight="1">
      <c r="A39" s="317">
        <v>1513</v>
      </c>
      <c r="B39" s="317" t="s">
        <v>129</v>
      </c>
    </row>
    <row r="40" spans="1:2" ht="16.5" customHeight="1">
      <c r="A40" s="317">
        <v>1711</v>
      </c>
      <c r="B40" s="317" t="s">
        <v>125</v>
      </c>
    </row>
    <row r="41" spans="1:2" ht="16.5" customHeight="1">
      <c r="A41" s="318">
        <v>1731</v>
      </c>
      <c r="B41" s="317" t="s">
        <v>132</v>
      </c>
    </row>
    <row r="42" spans="1:2" ht="16.5" customHeight="1">
      <c r="A42" s="317">
        <v>1800</v>
      </c>
      <c r="B42" s="317" t="s">
        <v>125</v>
      </c>
    </row>
    <row r="43" spans="1:2" ht="16.5" customHeight="1">
      <c r="A43" s="317">
        <v>1804</v>
      </c>
      <c r="B43" s="317" t="s">
        <v>129</v>
      </c>
    </row>
    <row r="44" spans="1:2" ht="16.5" customHeight="1">
      <c r="A44" s="317">
        <v>1805</v>
      </c>
      <c r="B44" s="317" t="s">
        <v>129</v>
      </c>
    </row>
    <row r="45" spans="1:2" ht="16.5" customHeight="1">
      <c r="A45" s="317">
        <v>1810</v>
      </c>
      <c r="B45" s="317" t="s">
        <v>132</v>
      </c>
    </row>
    <row r="46" spans="1:2" ht="16.5" customHeight="1">
      <c r="A46" s="317">
        <v>1820</v>
      </c>
      <c r="B46" s="317" t="s">
        <v>132</v>
      </c>
    </row>
    <row r="47" spans="1:2" ht="16.5" customHeight="1">
      <c r="A47" s="317">
        <v>1830</v>
      </c>
      <c r="B47" s="317" t="s">
        <v>129</v>
      </c>
    </row>
    <row r="48" spans="1:2" ht="16.5" customHeight="1">
      <c r="A48" s="317">
        <v>1831</v>
      </c>
      <c r="B48" s="317" t="s">
        <v>129</v>
      </c>
    </row>
    <row r="49" spans="1:2" ht="16.5" customHeight="1">
      <c r="A49" s="317">
        <v>8150</v>
      </c>
      <c r="B49" s="317" t="s">
        <v>132</v>
      </c>
    </row>
    <row r="50" spans="1:2" ht="16.5" customHeight="1">
      <c r="A50" s="317">
        <v>8155</v>
      </c>
      <c r="B50" s="317" t="s">
        <v>132</v>
      </c>
    </row>
    <row r="51" spans="1:2" ht="16.5" customHeight="1">
      <c r="A51" s="317">
        <v>8164</v>
      </c>
      <c r="B51" s="317" t="s">
        <v>132</v>
      </c>
    </row>
    <row r="52" spans="1:2" ht="16.5" customHeight="1">
      <c r="A52" s="317">
        <v>8169</v>
      </c>
      <c r="B52" s="317" t="s">
        <v>133</v>
      </c>
    </row>
    <row r="53" spans="1:2" ht="16.5" customHeight="1">
      <c r="A53" s="317">
        <v>73070</v>
      </c>
      <c r="B53" s="317" t="s">
        <v>132</v>
      </c>
    </row>
    <row r="54" spans="1:2" ht="16.5" customHeight="1">
      <c r="A54" s="317">
        <v>99800</v>
      </c>
      <c r="B54" s="317" t="s">
        <v>98</v>
      </c>
    </row>
    <row r="55" spans="1:2" ht="16.5" customHeight="1">
      <c r="A55" s="318">
        <v>97000</v>
      </c>
      <c r="B55" s="317" t="s">
        <v>125</v>
      </c>
    </row>
    <row r="56" spans="1:2" ht="16.5" customHeight="1">
      <c r="A56" s="317">
        <v>1621</v>
      </c>
      <c r="B56" s="318" t="s">
        <v>125</v>
      </c>
    </row>
    <row r="57" spans="1:2" ht="16.5" customHeight="1">
      <c r="A57" s="318">
        <v>1900</v>
      </c>
      <c r="B57" s="318" t="s">
        <v>98</v>
      </c>
    </row>
    <row r="58" spans="1:2" ht="16.5" customHeight="1">
      <c r="A58" s="318">
        <v>2834</v>
      </c>
      <c r="B58" s="318" t="s">
        <v>130</v>
      </c>
    </row>
    <row r="59" spans="1:2" ht="16.5" customHeight="1">
      <c r="A59" s="318">
        <v>2835</v>
      </c>
      <c r="B59" s="318" t="s">
        <v>130</v>
      </c>
    </row>
    <row r="60" spans="1:2" ht="16.5" customHeight="1">
      <c r="A60" s="318">
        <v>2881</v>
      </c>
      <c r="B60" s="318" t="s">
        <v>98</v>
      </c>
    </row>
    <row r="61" spans="1:2" ht="16.5" customHeight="1">
      <c r="A61" s="318">
        <v>2882</v>
      </c>
      <c r="B61" s="318" t="s">
        <v>98</v>
      </c>
    </row>
    <row r="62" spans="1:2" ht="16.5" customHeight="1">
      <c r="A62" s="318">
        <v>2883</v>
      </c>
      <c r="B62" s="318" t="s">
        <v>125</v>
      </c>
    </row>
    <row r="63" spans="1:2" ht="16.5" customHeight="1">
      <c r="A63" s="318">
        <v>2900</v>
      </c>
      <c r="B63" s="318" t="s">
        <v>128</v>
      </c>
    </row>
    <row r="64" spans="1:2" ht="16.5" customHeight="1">
      <c r="A64" s="318">
        <v>8010</v>
      </c>
      <c r="B64" s="318" t="s">
        <v>30</v>
      </c>
    </row>
    <row r="65" spans="1:2" ht="16.5" customHeight="1">
      <c r="A65" s="318">
        <v>8011</v>
      </c>
      <c r="B65" s="318" t="s">
        <v>30</v>
      </c>
    </row>
    <row r="66" spans="1:2" ht="16.5" customHeight="1">
      <c r="A66" s="318">
        <v>8031</v>
      </c>
      <c r="B66" s="318" t="s">
        <v>30</v>
      </c>
    </row>
    <row r="67" spans="1:2" ht="16.5" customHeight="1">
      <c r="A67" s="318">
        <v>8300</v>
      </c>
      <c r="B67" s="317" t="s">
        <v>30</v>
      </c>
    </row>
    <row r="68" spans="1:2" ht="16.5" customHeight="1">
      <c r="A68" s="318">
        <v>8785</v>
      </c>
      <c r="B68" s="318" t="s">
        <v>125</v>
      </c>
    </row>
    <row r="69" spans="1:2" ht="16.5" customHeight="1">
      <c r="A69" s="318">
        <v>114861</v>
      </c>
      <c r="B69" s="318" t="s">
        <v>130</v>
      </c>
    </row>
    <row r="70" spans="1:2" ht="16.5" customHeight="1">
      <c r="A70" s="318">
        <v>116810</v>
      </c>
      <c r="B70" s="317" t="s">
        <v>125</v>
      </c>
    </row>
    <row r="71" spans="1:2" ht="16.5" customHeight="1">
      <c r="A71" s="318">
        <v>140800</v>
      </c>
      <c r="B71" s="318" t="s">
        <v>98</v>
      </c>
    </row>
    <row r="72" spans="1:2" ht="16.5" customHeight="1">
      <c r="A72" s="318">
        <v>169448</v>
      </c>
      <c r="B72" s="318" t="s">
        <v>30</v>
      </c>
    </row>
    <row r="73" spans="1:2" ht="16.5" customHeight="1">
      <c r="A73" s="318">
        <v>157020</v>
      </c>
      <c r="B73" s="318" t="s">
        <v>98</v>
      </c>
    </row>
    <row r="74" spans="1:2" ht="16.5" customHeight="1">
      <c r="A74" s="317">
        <v>165109</v>
      </c>
      <c r="B74" s="318" t="s">
        <v>30</v>
      </c>
    </row>
    <row r="75" spans="1:2" ht="16.5" customHeight="1">
      <c r="A75" s="318">
        <v>168130</v>
      </c>
      <c r="B75" s="318" t="s">
        <v>125</v>
      </c>
    </row>
    <row r="76" spans="1:2" ht="16.5" customHeight="1">
      <c r="A76" s="318">
        <v>169240</v>
      </c>
      <c r="B76" s="318" t="s">
        <v>30</v>
      </c>
    </row>
    <row r="77" spans="1:2" ht="16.5" customHeight="1">
      <c r="A77" s="318">
        <v>169241</v>
      </c>
      <c r="B77" s="318" t="s">
        <v>30</v>
      </c>
    </row>
    <row r="78" spans="1:2" ht="16.5" customHeight="1">
      <c r="A78" s="318">
        <v>169260</v>
      </c>
      <c r="B78" s="318" t="s">
        <v>30</v>
      </c>
    </row>
    <row r="79" spans="1:2" ht="16.5" customHeight="1">
      <c r="A79" s="318">
        <v>169280</v>
      </c>
      <c r="B79" s="318" t="s">
        <v>30</v>
      </c>
    </row>
    <row r="80" spans="1:2" ht="16.5" customHeight="1">
      <c r="A80" s="318">
        <v>200000</v>
      </c>
      <c r="B80" s="318" t="s">
        <v>31</v>
      </c>
    </row>
    <row r="81" spans="1:2" ht="16.5" customHeight="1">
      <c r="A81" s="318">
        <v>200020</v>
      </c>
      <c r="B81" s="318" t="s">
        <v>31</v>
      </c>
    </row>
    <row r="82" spans="1:2" ht="16.5" customHeight="1">
      <c r="A82" s="318">
        <v>200070</v>
      </c>
      <c r="B82" s="318" t="s">
        <v>31</v>
      </c>
    </row>
    <row r="83" spans="1:2" ht="16.5" customHeight="1">
      <c r="A83" s="318">
        <v>200130</v>
      </c>
      <c r="B83" s="318" t="s">
        <v>98</v>
      </c>
    </row>
    <row r="84" spans="1:2" ht="16.5" customHeight="1">
      <c r="A84" s="318">
        <v>200170</v>
      </c>
      <c r="B84" s="318" t="s">
        <v>98</v>
      </c>
    </row>
    <row r="85" spans="1:2" ht="16.5" customHeight="1">
      <c r="A85" s="318">
        <v>200200</v>
      </c>
      <c r="B85" s="318" t="s">
        <v>98</v>
      </c>
    </row>
    <row r="86" spans="1:2" ht="16.5" customHeight="1">
      <c r="A86" s="318">
        <v>200260</v>
      </c>
      <c r="B86" s="318" t="s">
        <v>31</v>
      </c>
    </row>
    <row r="87" spans="1:2" ht="16.5" customHeight="1">
      <c r="A87" s="318">
        <v>200290</v>
      </c>
      <c r="B87" s="318" t="s">
        <v>98</v>
      </c>
    </row>
    <row r="88" spans="1:2" ht="16.5" customHeight="1">
      <c r="A88" s="318">
        <v>200350</v>
      </c>
      <c r="B88" s="318" t="s">
        <v>98</v>
      </c>
    </row>
    <row r="89" spans="1:2" ht="16.5" customHeight="1">
      <c r="A89" s="318">
        <v>200370</v>
      </c>
      <c r="B89" s="318" t="s">
        <v>31</v>
      </c>
    </row>
    <row r="90" spans="1:2" ht="16.5" customHeight="1">
      <c r="A90" s="318">
        <v>200371</v>
      </c>
      <c r="B90" s="318" t="s">
        <v>31</v>
      </c>
    </row>
    <row r="91" spans="1:2" ht="16.5" customHeight="1">
      <c r="A91" s="318">
        <v>200411</v>
      </c>
      <c r="B91" s="318" t="s">
        <v>31</v>
      </c>
    </row>
    <row r="92" spans="1:2" ht="16.5" customHeight="1">
      <c r="A92" s="317" t="s">
        <v>134</v>
      </c>
      <c r="B92" s="317" t="s">
        <v>125</v>
      </c>
    </row>
    <row r="93" spans="1:2" ht="16.5" customHeight="1">
      <c r="A93" s="317" t="s">
        <v>135</v>
      </c>
      <c r="B93" s="317" t="s">
        <v>98</v>
      </c>
    </row>
    <row r="94" spans="1:2" ht="16.5" customHeight="1">
      <c r="A94" s="317" t="s">
        <v>136</v>
      </c>
      <c r="B94" s="317" t="s">
        <v>98</v>
      </c>
    </row>
    <row r="95" spans="1:2" ht="16.5" customHeight="1">
      <c r="A95" s="317" t="s">
        <v>137</v>
      </c>
      <c r="B95" s="317" t="s">
        <v>98</v>
      </c>
    </row>
    <row r="96" spans="1:2" ht="16.5" customHeight="1">
      <c r="A96" s="317" t="s">
        <v>138</v>
      </c>
      <c r="B96" s="317" t="s">
        <v>98</v>
      </c>
    </row>
    <row r="97" spans="1:2" ht="16.5" customHeight="1">
      <c r="A97" s="317" t="s">
        <v>139</v>
      </c>
      <c r="B97" s="317" t="s">
        <v>98</v>
      </c>
    </row>
    <row r="98" spans="1:2" ht="16.5" customHeight="1">
      <c r="A98" s="317" t="s">
        <v>140</v>
      </c>
      <c r="B98" s="317" t="s">
        <v>129</v>
      </c>
    </row>
    <row r="99" spans="1:2" ht="16.5" customHeight="1">
      <c r="A99" s="317" t="s">
        <v>141</v>
      </c>
      <c r="B99" s="317" t="s">
        <v>98</v>
      </c>
    </row>
    <row r="100" spans="1:2" ht="16.5" customHeight="1">
      <c r="A100" s="317" t="s">
        <v>142</v>
      </c>
      <c r="B100" s="317" t="s">
        <v>98</v>
      </c>
    </row>
    <row r="101" spans="1:2" ht="16.5" customHeight="1">
      <c r="A101" s="317" t="s">
        <v>143</v>
      </c>
      <c r="B101" s="317" t="s">
        <v>31</v>
      </c>
    </row>
    <row r="102" spans="1:2" ht="16.5" customHeight="1">
      <c r="A102" s="317" t="s">
        <v>144</v>
      </c>
      <c r="B102" s="317" t="s">
        <v>31</v>
      </c>
    </row>
    <row r="103" spans="1:2" ht="16.5" customHeight="1">
      <c r="A103" s="317" t="s">
        <v>145</v>
      </c>
      <c r="B103" s="317" t="s">
        <v>31</v>
      </c>
    </row>
    <row r="104" spans="1:2" ht="16.5" customHeight="1">
      <c r="A104" s="317" t="s">
        <v>146</v>
      </c>
      <c r="B104" s="317" t="s">
        <v>31</v>
      </c>
    </row>
    <row r="105" spans="1:2" ht="16.5" customHeight="1">
      <c r="A105" s="317" t="s">
        <v>147</v>
      </c>
      <c r="B105" s="317" t="s">
        <v>31</v>
      </c>
    </row>
    <row r="106" spans="1:2" ht="16.5" customHeight="1">
      <c r="A106" s="317" t="s">
        <v>148</v>
      </c>
      <c r="B106" s="317" t="s">
        <v>129</v>
      </c>
    </row>
    <row r="107" spans="1:2" ht="16.5" customHeight="1">
      <c r="A107" s="317" t="s">
        <v>149</v>
      </c>
      <c r="B107" s="317" t="s">
        <v>98</v>
      </c>
    </row>
    <row r="108" spans="1:2" ht="16.5" customHeight="1">
      <c r="A108" s="317" t="s">
        <v>150</v>
      </c>
      <c r="B108" s="317" t="s">
        <v>98</v>
      </c>
    </row>
    <row r="109" spans="1:2" ht="16.5" customHeight="1">
      <c r="A109" s="317" t="s">
        <v>151</v>
      </c>
      <c r="B109" s="317" t="s">
        <v>98</v>
      </c>
    </row>
    <row r="110" spans="1:2" ht="16.5" customHeight="1">
      <c r="A110" s="317" t="s">
        <v>152</v>
      </c>
      <c r="B110" s="317" t="s">
        <v>98</v>
      </c>
    </row>
    <row r="111" spans="1:2" ht="16.5" customHeight="1">
      <c r="A111" s="317">
        <v>122020</v>
      </c>
      <c r="B111" s="317" t="s">
        <v>128</v>
      </c>
    </row>
    <row r="112" spans="1:2" ht="16.5" customHeight="1">
      <c r="A112" s="317">
        <v>131023</v>
      </c>
      <c r="B112" s="317" t="s">
        <v>31</v>
      </c>
    </row>
    <row r="113" spans="1:2" ht="16.5" customHeight="1">
      <c r="A113" s="317">
        <v>152029</v>
      </c>
      <c r="B113" s="317" t="s">
        <v>98</v>
      </c>
    </row>
    <row r="114" spans="1:2" ht="16.5" customHeight="1">
      <c r="A114" s="317">
        <v>161024</v>
      </c>
      <c r="B114" s="317" t="s">
        <v>31</v>
      </c>
    </row>
    <row r="115" spans="1:2" ht="16.5" customHeight="1">
      <c r="A115" s="318">
        <v>161061</v>
      </c>
      <c r="B115" s="318" t="s">
        <v>128</v>
      </c>
    </row>
    <row r="116" spans="1:2" ht="16.5" customHeight="1">
      <c r="A116" s="317">
        <v>161074</v>
      </c>
      <c r="B116" s="317" t="s">
        <v>98</v>
      </c>
    </row>
    <row r="117" spans="1:2" ht="16.5" customHeight="1">
      <c r="A117" s="317">
        <v>161089</v>
      </c>
      <c r="B117" s="317" t="s">
        <v>98</v>
      </c>
    </row>
    <row r="118" spans="1:2" ht="16.5" customHeight="1">
      <c r="A118" s="317">
        <v>162006</v>
      </c>
      <c r="B118" s="317" t="s">
        <v>128</v>
      </c>
    </row>
    <row r="119" spans="1:2" ht="16.5" customHeight="1">
      <c r="A119" s="318">
        <v>162007</v>
      </c>
      <c r="B119" s="318" t="s">
        <v>128</v>
      </c>
    </row>
    <row r="120" spans="1:2" ht="16.5" customHeight="1">
      <c r="A120" s="317">
        <v>162010</v>
      </c>
      <c r="B120" s="317" t="s">
        <v>128</v>
      </c>
    </row>
    <row r="121" spans="1:2" ht="16.5" customHeight="1">
      <c r="A121" s="318">
        <v>162012</v>
      </c>
      <c r="B121" s="318" t="s">
        <v>128</v>
      </c>
    </row>
    <row r="122" spans="1:2" ht="16.5" customHeight="1">
      <c r="A122" s="318">
        <v>162013</v>
      </c>
      <c r="B122" s="318" t="s">
        <v>128</v>
      </c>
    </row>
    <row r="123" spans="1:2" ht="16.5" customHeight="1">
      <c r="A123" s="317">
        <v>162014</v>
      </c>
      <c r="B123" s="317" t="s">
        <v>128</v>
      </c>
    </row>
    <row r="124" spans="1:2" ht="16.5" customHeight="1">
      <c r="A124" s="317">
        <v>162015</v>
      </c>
      <c r="B124" s="317" t="s">
        <v>128</v>
      </c>
    </row>
    <row r="125" spans="1:2" ht="16.5" customHeight="1">
      <c r="A125" s="317">
        <v>162016</v>
      </c>
      <c r="B125" s="317" t="s">
        <v>128</v>
      </c>
    </row>
    <row r="126" spans="1:2" ht="16.5" customHeight="1">
      <c r="A126" s="317">
        <v>162017</v>
      </c>
      <c r="B126" s="318" t="s">
        <v>128</v>
      </c>
    </row>
    <row r="127" spans="1:2" ht="16.5" customHeight="1">
      <c r="A127" s="318">
        <v>162018</v>
      </c>
      <c r="B127" s="318" t="s">
        <v>128</v>
      </c>
    </row>
    <row r="128" spans="1:2" ht="16.5" customHeight="1">
      <c r="A128" s="317">
        <v>162020</v>
      </c>
      <c r="B128" s="317" t="s">
        <v>128</v>
      </c>
    </row>
    <row r="129" spans="1:2" ht="16.5" customHeight="1">
      <c r="A129" s="318">
        <v>162021</v>
      </c>
      <c r="B129" s="318" t="s">
        <v>128</v>
      </c>
    </row>
    <row r="130" spans="1:2" ht="16.5" customHeight="1">
      <c r="A130" s="317">
        <v>162022</v>
      </c>
      <c r="B130" s="317" t="s">
        <v>129</v>
      </c>
    </row>
    <row r="131" spans="1:2" ht="16.5" customHeight="1">
      <c r="A131" s="317">
        <v>162023</v>
      </c>
      <c r="B131" s="317" t="s">
        <v>129</v>
      </c>
    </row>
    <row r="132" spans="1:2" ht="16.5" customHeight="1">
      <c r="A132" s="317">
        <v>162024</v>
      </c>
      <c r="B132" s="317" t="s">
        <v>129</v>
      </c>
    </row>
    <row r="133" spans="1:2" ht="16.5" customHeight="1">
      <c r="A133" s="317">
        <v>162025</v>
      </c>
      <c r="B133" s="317" t="s">
        <v>129</v>
      </c>
    </row>
    <row r="134" spans="1:2" ht="16.5" customHeight="1">
      <c r="A134" s="317">
        <v>162026</v>
      </c>
      <c r="B134" s="317" t="s">
        <v>129</v>
      </c>
    </row>
    <row r="135" spans="1:2" ht="16.5" customHeight="1">
      <c r="A135" s="317">
        <v>162041</v>
      </c>
      <c r="B135" s="317" t="s">
        <v>130</v>
      </c>
    </row>
    <row r="136" spans="1:2" ht="16.5" customHeight="1">
      <c r="A136" s="317">
        <v>202018</v>
      </c>
      <c r="B136" s="317" t="s">
        <v>128</v>
      </c>
    </row>
    <row r="137" spans="1:2" ht="16.5" customHeight="1">
      <c r="A137" s="317">
        <v>302012</v>
      </c>
      <c r="B137" s="317" t="s">
        <v>128</v>
      </c>
    </row>
    <row r="138" spans="1:2" ht="16.5" customHeight="1">
      <c r="A138" s="317">
        <v>302020</v>
      </c>
      <c r="B138" s="317" t="s">
        <v>133</v>
      </c>
    </row>
    <row r="139" spans="1:2" ht="16.5" customHeight="1">
      <c r="A139" s="318">
        <v>302033</v>
      </c>
      <c r="B139" s="318" t="s">
        <v>133</v>
      </c>
    </row>
    <row r="140" spans="1:2" ht="16.5" customHeight="1">
      <c r="A140" s="318">
        <v>302034</v>
      </c>
      <c r="B140" s="318" t="s">
        <v>133</v>
      </c>
    </row>
    <row r="141" spans="1:2" ht="16.5" customHeight="1">
      <c r="A141" s="318">
        <v>302038</v>
      </c>
      <c r="B141" s="318" t="s">
        <v>133</v>
      </c>
    </row>
    <row r="142" spans="1:2" ht="16.5" customHeight="1">
      <c r="A142" s="318">
        <v>302040</v>
      </c>
      <c r="B142" s="318" t="s">
        <v>133</v>
      </c>
    </row>
    <row r="143" spans="1:2" ht="16.5" customHeight="1">
      <c r="A143" s="318">
        <v>302045</v>
      </c>
      <c r="B143" s="318" t="s">
        <v>133</v>
      </c>
    </row>
    <row r="144" spans="1:2" ht="16.5" customHeight="1">
      <c r="A144" s="318">
        <v>302059</v>
      </c>
      <c r="B144" s="318" t="s">
        <v>133</v>
      </c>
    </row>
    <row r="145" spans="1:2" ht="16.5" customHeight="1">
      <c r="A145" s="317">
        <v>402006</v>
      </c>
      <c r="B145" s="317" t="s">
        <v>125</v>
      </c>
    </row>
    <row r="146" spans="1:2" ht="16.5" customHeight="1">
      <c r="A146" s="317">
        <v>402007</v>
      </c>
      <c r="B146" s="317" t="s">
        <v>132</v>
      </c>
    </row>
    <row r="147" spans="1:2" ht="16.5" customHeight="1">
      <c r="A147" s="317">
        <v>402012</v>
      </c>
      <c r="B147" s="317" t="s">
        <v>128</v>
      </c>
    </row>
    <row r="148" spans="1:2" ht="16.5" customHeight="1">
      <c r="A148" s="317">
        <v>402015</v>
      </c>
      <c r="B148" s="317" t="s">
        <v>132</v>
      </c>
    </row>
    <row r="149" spans="1:2" ht="16.5" customHeight="1">
      <c r="A149" s="317">
        <v>402019</v>
      </c>
      <c r="B149" s="317" t="s">
        <v>133</v>
      </c>
    </row>
    <row r="150" spans="1:2" ht="16.5" customHeight="1">
      <c r="A150" s="317">
        <v>402021</v>
      </c>
      <c r="B150" s="317" t="s">
        <v>132</v>
      </c>
    </row>
    <row r="151" spans="1:2" ht="16.5" customHeight="1">
      <c r="A151" s="317">
        <v>402022</v>
      </c>
      <c r="B151" s="317" t="s">
        <v>133</v>
      </c>
    </row>
    <row r="152" spans="1:2" ht="16.5" customHeight="1">
      <c r="A152" s="317">
        <v>402023</v>
      </c>
      <c r="B152" s="317" t="s">
        <v>133</v>
      </c>
    </row>
    <row r="153" spans="1:2" ht="16.5" customHeight="1">
      <c r="A153" s="318">
        <v>402024</v>
      </c>
      <c r="B153" s="318" t="s">
        <v>133</v>
      </c>
    </row>
    <row r="154" spans="1:2" ht="16.5" customHeight="1">
      <c r="A154" s="318">
        <v>402028</v>
      </c>
      <c r="B154" s="318" t="s">
        <v>133</v>
      </c>
    </row>
    <row r="155" spans="1:2" ht="16.5" customHeight="1">
      <c r="A155" s="318">
        <v>402029</v>
      </c>
      <c r="B155" s="318" t="s">
        <v>133</v>
      </c>
    </row>
    <row r="156" spans="1:2" ht="16.5" customHeight="1">
      <c r="A156" s="318">
        <v>402030</v>
      </c>
      <c r="B156" s="318" t="s">
        <v>133</v>
      </c>
    </row>
    <row r="157" spans="1:2" ht="16.5" customHeight="1">
      <c r="A157" s="318">
        <v>402032</v>
      </c>
      <c r="B157" s="318" t="s">
        <v>133</v>
      </c>
    </row>
    <row r="158" spans="1:2" ht="16.5" customHeight="1">
      <c r="A158" s="318">
        <v>402033</v>
      </c>
      <c r="B158" s="318" t="s">
        <v>132</v>
      </c>
    </row>
    <row r="159" spans="1:2" ht="16.5" customHeight="1">
      <c r="A159" s="318">
        <v>402035</v>
      </c>
      <c r="B159" s="318" t="s">
        <v>133</v>
      </c>
    </row>
    <row r="160" spans="1:2" ht="16.5" customHeight="1">
      <c r="A160" s="318">
        <v>402036</v>
      </c>
      <c r="B160" s="318" t="s">
        <v>133</v>
      </c>
    </row>
    <row r="161" spans="1:2" ht="16.5" customHeight="1">
      <c r="A161" s="318">
        <v>402037</v>
      </c>
      <c r="B161" s="318" t="s">
        <v>133</v>
      </c>
    </row>
    <row r="162" spans="1:2" ht="16.5" customHeight="1">
      <c r="A162" s="318">
        <v>402038</v>
      </c>
      <c r="B162" s="318" t="s">
        <v>132</v>
      </c>
    </row>
    <row r="163" spans="1:2" ht="16.5" customHeight="1">
      <c r="A163" s="318">
        <v>402039</v>
      </c>
      <c r="B163" s="318" t="s">
        <v>133</v>
      </c>
    </row>
    <row r="164" spans="1:2" ht="16.5" customHeight="1">
      <c r="A164" s="318">
        <v>402045</v>
      </c>
      <c r="B164" s="318" t="s">
        <v>133</v>
      </c>
    </row>
    <row r="165" spans="1:2" ht="16.5" customHeight="1">
      <c r="A165" s="318">
        <v>402046</v>
      </c>
      <c r="B165" s="318" t="s">
        <v>133</v>
      </c>
    </row>
    <row r="166" spans="1:2" ht="16.5" customHeight="1">
      <c r="A166" s="318">
        <v>402048</v>
      </c>
      <c r="B166" s="318" t="s">
        <v>133</v>
      </c>
    </row>
    <row r="167" spans="1:2" ht="16.5" customHeight="1">
      <c r="A167" s="318">
        <v>402054</v>
      </c>
      <c r="B167" s="318" t="s">
        <v>133</v>
      </c>
    </row>
    <row r="168" spans="1:2" ht="16.5" customHeight="1">
      <c r="A168" s="318">
        <v>402055</v>
      </c>
      <c r="B168" s="318" t="s">
        <v>98</v>
      </c>
    </row>
    <row r="169" spans="1:2" ht="16.5" customHeight="1">
      <c r="A169" s="318">
        <v>402060</v>
      </c>
      <c r="B169" s="318" t="s">
        <v>98</v>
      </c>
    </row>
    <row r="170" spans="1:2" ht="16.5" customHeight="1">
      <c r="A170" s="318">
        <v>402061</v>
      </c>
      <c r="B170" s="318" t="s">
        <v>98</v>
      </c>
    </row>
    <row r="171" spans="1:2" ht="16.5" customHeight="1">
      <c r="A171" s="317">
        <v>10513</v>
      </c>
      <c r="B171" s="317" t="s">
        <v>125</v>
      </c>
    </row>
    <row r="172" spans="1:2" ht="16.5" customHeight="1">
      <c r="A172" s="317">
        <v>10515</v>
      </c>
      <c r="B172" s="317" t="s">
        <v>125</v>
      </c>
    </row>
    <row r="173" spans="1:2" ht="16.5" customHeight="1">
      <c r="A173" s="317">
        <v>19127</v>
      </c>
      <c r="B173" s="317" t="s">
        <v>125</v>
      </c>
    </row>
    <row r="174" spans="1:2" ht="16.5" customHeight="1">
      <c r="A174" s="317">
        <v>50133</v>
      </c>
      <c r="B174" s="317" t="s">
        <v>98</v>
      </c>
    </row>
    <row r="175" spans="1:2" ht="16.5" customHeight="1">
      <c r="A175" s="317">
        <v>50140</v>
      </c>
      <c r="B175" s="317" t="s">
        <v>98</v>
      </c>
    </row>
    <row r="176" spans="1:2" ht="16.5" customHeight="1">
      <c r="A176" s="317">
        <v>50145</v>
      </c>
      <c r="B176" s="317" t="s">
        <v>98</v>
      </c>
    </row>
    <row r="177" spans="1:2" ht="16.5" customHeight="1">
      <c r="A177" s="317">
        <v>74067</v>
      </c>
      <c r="B177" s="317" t="s">
        <v>129</v>
      </c>
    </row>
    <row r="178" spans="1:2" ht="16.5" customHeight="1">
      <c r="A178" s="317">
        <v>74069</v>
      </c>
      <c r="B178" s="317" t="s">
        <v>132</v>
      </c>
    </row>
    <row r="179" spans="1:2" ht="16.5" customHeight="1">
      <c r="A179" s="317">
        <v>265044</v>
      </c>
      <c r="B179" s="317" t="s">
        <v>128</v>
      </c>
    </row>
    <row r="180" spans="1:2" ht="16.5" customHeight="1">
      <c r="A180" s="318">
        <v>220004</v>
      </c>
      <c r="B180" s="318" t="s">
        <v>31</v>
      </c>
    </row>
    <row r="181" spans="1:2" ht="16.5" customHeight="1">
      <c r="A181" s="317">
        <v>221081</v>
      </c>
      <c r="B181" s="319" t="s">
        <v>153</v>
      </c>
    </row>
    <row r="182" spans="1:2" ht="16.5" customHeight="1">
      <c r="A182" s="317">
        <v>228002</v>
      </c>
      <c r="B182" s="319" t="s">
        <v>132</v>
      </c>
    </row>
    <row r="183" spans="1:2" ht="16.5" customHeight="1">
      <c r="A183" s="317">
        <v>235301</v>
      </c>
      <c r="B183" s="317" t="s">
        <v>125</v>
      </c>
    </row>
    <row r="184" spans="1:2" ht="16.5" customHeight="1">
      <c r="A184" s="317">
        <v>247005</v>
      </c>
      <c r="B184" s="317" t="s">
        <v>125</v>
      </c>
    </row>
    <row r="185" spans="1:2" ht="16.5" customHeight="1">
      <c r="A185" s="317">
        <v>260012</v>
      </c>
      <c r="B185" s="317" t="s">
        <v>98</v>
      </c>
    </row>
    <row r="186" spans="1:2" ht="16.5" customHeight="1">
      <c r="A186" s="317">
        <v>260021</v>
      </c>
      <c r="B186" s="317" t="s">
        <v>98</v>
      </c>
    </row>
    <row r="187" spans="1:2" ht="16.5" customHeight="1">
      <c r="A187" s="318">
        <v>260061</v>
      </c>
      <c r="B187" s="318" t="s">
        <v>154</v>
      </c>
    </row>
    <row r="188" spans="1:2" ht="16.5" customHeight="1">
      <c r="A188" s="317">
        <v>260101</v>
      </c>
      <c r="B188" s="317" t="s">
        <v>98</v>
      </c>
    </row>
    <row r="189" spans="1:2" ht="16.5" customHeight="1">
      <c r="A189" s="317">
        <v>260150</v>
      </c>
      <c r="B189" s="319" t="s">
        <v>31</v>
      </c>
    </row>
    <row r="190" spans="1:2" ht="16.5" customHeight="1">
      <c r="A190" s="317">
        <v>260151</v>
      </c>
      <c r="B190" s="319" t="s">
        <v>31</v>
      </c>
    </row>
    <row r="191" spans="1:2" ht="16.5" customHeight="1">
      <c r="A191" s="317">
        <v>260201</v>
      </c>
      <c r="B191" s="317" t="s">
        <v>98</v>
      </c>
    </row>
    <row r="192" spans="1:2" ht="16.5" customHeight="1">
      <c r="A192" s="317">
        <v>260351</v>
      </c>
      <c r="B192" s="317" t="s">
        <v>98</v>
      </c>
    </row>
    <row r="193" spans="1:2" ht="16.5" customHeight="1">
      <c r="A193" s="317">
        <v>260451</v>
      </c>
      <c r="B193" s="317" t="s">
        <v>98</v>
      </c>
    </row>
    <row r="194" spans="1:2" ht="16.5" customHeight="1">
      <c r="A194" s="317">
        <v>262101</v>
      </c>
      <c r="B194" s="317" t="s">
        <v>98</v>
      </c>
    </row>
    <row r="195" spans="1:2" ht="16.5" customHeight="1">
      <c r="A195" s="318">
        <v>262401</v>
      </c>
      <c r="B195" s="318" t="s">
        <v>98</v>
      </c>
    </row>
    <row r="196" spans="1:2" ht="16.5" customHeight="1">
      <c r="A196" s="318">
        <v>262501</v>
      </c>
      <c r="B196" s="318" t="s">
        <v>128</v>
      </c>
    </row>
    <row r="197" spans="1:2" ht="16.5" customHeight="1">
      <c r="A197" s="318">
        <v>262502</v>
      </c>
      <c r="B197" s="318" t="s">
        <v>128</v>
      </c>
    </row>
    <row r="198" spans="1:2" ht="16.5" customHeight="1">
      <c r="A198" s="318">
        <v>262503</v>
      </c>
      <c r="B198" s="318" t="s">
        <v>128</v>
      </c>
    </row>
    <row r="199" spans="1:2" ht="16.5" customHeight="1">
      <c r="A199" s="318">
        <v>262505</v>
      </c>
      <c r="B199" s="317" t="s">
        <v>128</v>
      </c>
    </row>
    <row r="200" spans="1:2" ht="16.5" customHeight="1">
      <c r="A200" s="317">
        <v>262506</v>
      </c>
      <c r="B200" s="317" t="s">
        <v>128</v>
      </c>
    </row>
    <row r="201" spans="1:2" ht="16.5" customHeight="1">
      <c r="A201" s="318">
        <v>263011</v>
      </c>
      <c r="B201" s="318" t="s">
        <v>125</v>
      </c>
    </row>
    <row r="202" spans="1:2" ht="16.5" customHeight="1">
      <c r="A202" s="317">
        <v>270100</v>
      </c>
      <c r="B202" s="319" t="s">
        <v>98</v>
      </c>
    </row>
    <row r="203" spans="1:2" ht="16.5" customHeight="1">
      <c r="A203" s="317">
        <v>270126</v>
      </c>
      <c r="B203" s="319" t="s">
        <v>98</v>
      </c>
    </row>
    <row r="204" spans="1:2" ht="16.5" customHeight="1">
      <c r="A204" s="320">
        <v>270210</v>
      </c>
      <c r="B204" s="319" t="s">
        <v>129</v>
      </c>
    </row>
    <row r="205" spans="1:2" ht="16.5" customHeight="1">
      <c r="A205" s="318">
        <v>280031</v>
      </c>
      <c r="B205" s="318" t="s">
        <v>129</v>
      </c>
    </row>
    <row r="206" spans="1:2" ht="16.5" customHeight="1">
      <c r="A206" s="318">
        <v>280031</v>
      </c>
      <c r="B206" s="318" t="s">
        <v>98</v>
      </c>
    </row>
    <row r="207" spans="1:2" ht="16.5" customHeight="1">
      <c r="A207" s="317">
        <v>280051</v>
      </c>
      <c r="B207" s="319" t="s">
        <v>129</v>
      </c>
    </row>
    <row r="208" spans="1:2" ht="16.5" customHeight="1">
      <c r="A208" s="317">
        <v>280071</v>
      </c>
      <c r="B208" s="319" t="s">
        <v>129</v>
      </c>
    </row>
    <row r="209" spans="1:2" ht="16.5" customHeight="1">
      <c r="A209" s="317">
        <v>280096</v>
      </c>
      <c r="B209" s="319" t="s">
        <v>129</v>
      </c>
    </row>
    <row r="210" spans="1:2" ht="16.5" customHeight="1">
      <c r="A210" s="317">
        <v>280100</v>
      </c>
      <c r="B210" s="319" t="s">
        <v>129</v>
      </c>
    </row>
    <row r="211" spans="1:2" ht="16.5" customHeight="1">
      <c r="A211" s="317">
        <v>280106</v>
      </c>
      <c r="B211" s="319" t="s">
        <v>98</v>
      </c>
    </row>
    <row r="212" spans="1:2" ht="16.5" customHeight="1">
      <c r="A212" s="317">
        <v>280110</v>
      </c>
      <c r="B212" s="319" t="s">
        <v>129</v>
      </c>
    </row>
    <row r="213" spans="1:2" ht="16.5" customHeight="1">
      <c r="A213" s="317">
        <v>280120</v>
      </c>
      <c r="B213" s="319" t="s">
        <v>129</v>
      </c>
    </row>
    <row r="214" spans="1:2" ht="16.5" customHeight="1">
      <c r="A214" s="317">
        <v>280126</v>
      </c>
      <c r="B214" s="319" t="s">
        <v>98</v>
      </c>
    </row>
    <row r="215" spans="1:2" ht="16.5" customHeight="1">
      <c r="A215" s="317">
        <v>280130</v>
      </c>
      <c r="B215" s="319" t="s">
        <v>98</v>
      </c>
    </row>
    <row r="216" spans="1:2" ht="16.5" customHeight="1">
      <c r="A216" s="317">
        <v>280141</v>
      </c>
      <c r="B216" s="319" t="s">
        <v>129</v>
      </c>
    </row>
    <row r="217" spans="1:2" ht="16.5" customHeight="1">
      <c r="A217" s="317">
        <v>280150</v>
      </c>
      <c r="B217" s="319" t="s">
        <v>129</v>
      </c>
    </row>
    <row r="218" spans="1:2" ht="16.5" customHeight="1">
      <c r="A218" s="317">
        <v>280151</v>
      </c>
      <c r="B218" s="319" t="s">
        <v>129</v>
      </c>
    </row>
    <row r="219" spans="1:2" ht="16.5" customHeight="1">
      <c r="A219" s="317">
        <v>280165</v>
      </c>
      <c r="B219" s="319" t="s">
        <v>129</v>
      </c>
    </row>
    <row r="220" spans="1:2" ht="16.5" customHeight="1">
      <c r="A220" s="317">
        <v>280300</v>
      </c>
      <c r="B220" s="319" t="s">
        <v>98</v>
      </c>
    </row>
    <row r="221" spans="1:2" ht="16.5" customHeight="1">
      <c r="A221" s="317">
        <v>280301</v>
      </c>
      <c r="B221" s="319" t="s">
        <v>98</v>
      </c>
    </row>
    <row r="222" spans="1:2" ht="16.5" customHeight="1">
      <c r="A222" s="317">
        <v>296004</v>
      </c>
      <c r="B222" s="319" t="s">
        <v>98</v>
      </c>
    </row>
    <row r="223" spans="1:2" ht="16.5" customHeight="1">
      <c r="A223" s="317" t="s">
        <v>155</v>
      </c>
      <c r="B223" s="317" t="s">
        <v>98</v>
      </c>
    </row>
    <row r="224" spans="1:2" ht="16.5" customHeight="1">
      <c r="A224" s="318" t="s">
        <v>156</v>
      </c>
      <c r="B224" s="318" t="s">
        <v>98</v>
      </c>
    </row>
    <row r="225" spans="1:2" ht="16.5" customHeight="1">
      <c r="A225" s="318" t="s">
        <v>157</v>
      </c>
      <c r="B225" s="318" t="s">
        <v>125</v>
      </c>
    </row>
    <row r="226" spans="1:2" ht="16.5" customHeight="1">
      <c r="A226" s="318" t="s">
        <v>158</v>
      </c>
      <c r="B226" s="318" t="s">
        <v>125</v>
      </c>
    </row>
    <row r="227" spans="1:2" ht="16.5" customHeight="1">
      <c r="A227" s="318" t="s">
        <v>159</v>
      </c>
      <c r="B227" s="318" t="s">
        <v>125</v>
      </c>
    </row>
    <row r="228" spans="1:2" ht="16.5" customHeight="1">
      <c r="A228" s="318" t="s">
        <v>160</v>
      </c>
      <c r="B228" s="318" t="s">
        <v>125</v>
      </c>
    </row>
    <row r="229" spans="1:2" ht="16.5" customHeight="1">
      <c r="A229" s="317" t="s">
        <v>161</v>
      </c>
      <c r="B229" s="317" t="s">
        <v>125</v>
      </c>
    </row>
    <row r="230" spans="1:2" ht="16.5" customHeight="1">
      <c r="A230" s="317" t="s">
        <v>162</v>
      </c>
      <c r="B230" s="317"/>
    </row>
    <row r="231" spans="1:2" ht="16.5" customHeight="1">
      <c r="A231" s="317" t="s">
        <v>163</v>
      </c>
      <c r="B231" s="317" t="s">
        <v>31</v>
      </c>
    </row>
    <row r="232" spans="1:2" ht="16.5" customHeight="1">
      <c r="A232" s="317" t="s">
        <v>164</v>
      </c>
      <c r="B232" s="317" t="s">
        <v>30</v>
      </c>
    </row>
    <row r="233" spans="1:2" ht="16.5" customHeight="1">
      <c r="A233" s="317" t="s">
        <v>165</v>
      </c>
      <c r="B233" s="317" t="s">
        <v>30</v>
      </c>
    </row>
    <row r="234" spans="1:2" ht="16.5" customHeight="1">
      <c r="A234" s="317" t="s">
        <v>166</v>
      </c>
      <c r="B234" s="317" t="s">
        <v>31</v>
      </c>
    </row>
    <row r="235" spans="1:2" ht="16.5" customHeight="1">
      <c r="A235" s="318">
        <v>6554</v>
      </c>
      <c r="B235" s="321" t="s">
        <v>98</v>
      </c>
    </row>
    <row r="236" spans="1:2" ht="16.5" customHeight="1">
      <c r="A236" s="317">
        <v>10152</v>
      </c>
      <c r="B236" s="317" t="s">
        <v>153</v>
      </c>
    </row>
    <row r="237" spans="1:2" ht="16.5" customHeight="1">
      <c r="A237" s="318">
        <v>70004</v>
      </c>
      <c r="B237" s="318" t="s">
        <v>31</v>
      </c>
    </row>
    <row r="238" spans="1:2" ht="16.5" customHeight="1">
      <c r="A238" s="318">
        <v>70011</v>
      </c>
      <c r="B238" s="318" t="s">
        <v>31</v>
      </c>
    </row>
    <row r="239" spans="1:2" ht="16.5" customHeight="1">
      <c r="A239" s="318">
        <v>70012</v>
      </c>
      <c r="B239" s="318" t="s">
        <v>154</v>
      </c>
    </row>
    <row r="240" spans="1:2" ht="16.5" customHeight="1">
      <c r="A240" s="318">
        <v>70015</v>
      </c>
      <c r="B240" s="318" t="s">
        <v>31</v>
      </c>
    </row>
    <row r="241" spans="1:2" ht="16.5" customHeight="1">
      <c r="A241" s="317" t="s">
        <v>167</v>
      </c>
      <c r="B241" s="319" t="s">
        <v>98</v>
      </c>
    </row>
    <row r="242" spans="1:2" ht="16.5" customHeight="1">
      <c r="A242" s="317" t="s">
        <v>168</v>
      </c>
      <c r="B242" s="319" t="s">
        <v>125</v>
      </c>
    </row>
    <row r="243" spans="1:2" ht="16.5" customHeight="1">
      <c r="A243" s="317" t="s">
        <v>169</v>
      </c>
      <c r="B243" s="319" t="s">
        <v>98</v>
      </c>
    </row>
    <row r="244" spans="1:2" ht="16.5" customHeight="1">
      <c r="A244" s="317" t="s">
        <v>170</v>
      </c>
      <c r="B244" s="319" t="s">
        <v>98</v>
      </c>
    </row>
    <row r="245" spans="1:2" ht="16.5" customHeight="1">
      <c r="A245" s="317" t="s">
        <v>171</v>
      </c>
      <c r="B245" s="319" t="s">
        <v>98</v>
      </c>
    </row>
    <row r="246" spans="1:2" ht="16.5" customHeight="1">
      <c r="A246" s="317" t="s">
        <v>172</v>
      </c>
      <c r="B246" s="319" t="s">
        <v>98</v>
      </c>
    </row>
    <row r="247" spans="1:2" ht="16.5" customHeight="1">
      <c r="A247" s="317" t="s">
        <v>78</v>
      </c>
      <c r="B247" s="319" t="s">
        <v>98</v>
      </c>
    </row>
    <row r="248" spans="1:2" ht="16.5" customHeight="1">
      <c r="A248" s="317" t="s">
        <v>173</v>
      </c>
      <c r="B248" s="319" t="s">
        <v>125</v>
      </c>
    </row>
    <row r="249" spans="1:2" ht="16.5" customHeight="1">
      <c r="A249" s="317" t="s">
        <v>174</v>
      </c>
      <c r="B249" s="319" t="s">
        <v>98</v>
      </c>
    </row>
    <row r="250" spans="1:2" ht="16.5" customHeight="1">
      <c r="A250" s="318" t="s">
        <v>175</v>
      </c>
      <c r="B250" s="322" t="s">
        <v>98</v>
      </c>
    </row>
    <row r="251" spans="1:2" ht="16.5" customHeight="1">
      <c r="A251" s="317" t="s">
        <v>176</v>
      </c>
      <c r="B251" s="319" t="s">
        <v>98</v>
      </c>
    </row>
    <row r="252" spans="1:2" ht="16.5" customHeight="1">
      <c r="A252" s="318" t="s">
        <v>177</v>
      </c>
      <c r="B252" s="322" t="s">
        <v>98</v>
      </c>
    </row>
    <row r="253" spans="1:2" ht="16.5" customHeight="1">
      <c r="A253" s="317" t="s">
        <v>178</v>
      </c>
      <c r="B253" s="317" t="s">
        <v>98</v>
      </c>
    </row>
    <row r="254" spans="1:2" ht="16.5" customHeight="1">
      <c r="A254" s="317" t="s">
        <v>179</v>
      </c>
      <c r="B254" s="319" t="s">
        <v>98</v>
      </c>
    </row>
    <row r="255" spans="1:2" ht="16.5" customHeight="1">
      <c r="A255" s="317" t="s">
        <v>180</v>
      </c>
      <c r="B255" s="317" t="s">
        <v>30</v>
      </c>
    </row>
    <row r="256" spans="1:2" ht="16.5" customHeight="1">
      <c r="A256" s="317" t="s">
        <v>181</v>
      </c>
      <c r="B256" s="317" t="s">
        <v>30</v>
      </c>
    </row>
    <row r="257" spans="1:2" ht="16.5" customHeight="1">
      <c r="A257" s="317" t="s">
        <v>182</v>
      </c>
      <c r="B257" s="317" t="s">
        <v>153</v>
      </c>
    </row>
    <row r="258" spans="1:2" ht="16.5" customHeight="1">
      <c r="A258" s="318" t="s">
        <v>183</v>
      </c>
      <c r="B258" s="322" t="s">
        <v>129</v>
      </c>
    </row>
    <row r="259" spans="1:2" ht="16.5" customHeight="1">
      <c r="A259" s="318" t="s">
        <v>184</v>
      </c>
      <c r="B259" s="322" t="s">
        <v>129</v>
      </c>
    </row>
    <row r="260" spans="1:2" ht="16.5" customHeight="1">
      <c r="A260" s="317" t="s">
        <v>185</v>
      </c>
      <c r="B260" s="317" t="s">
        <v>30</v>
      </c>
    </row>
    <row r="261" spans="1:2" ht="16.5" customHeight="1">
      <c r="A261" s="318" t="s">
        <v>186</v>
      </c>
      <c r="B261" s="318" t="s">
        <v>125</v>
      </c>
    </row>
    <row r="262" spans="1:2" ht="16.5" customHeight="1">
      <c r="A262" s="318" t="s">
        <v>187</v>
      </c>
      <c r="B262" s="322" t="s">
        <v>129</v>
      </c>
    </row>
    <row r="263" spans="1:2" ht="16.5" customHeight="1">
      <c r="A263" s="318" t="s">
        <v>188</v>
      </c>
      <c r="B263" s="322" t="s">
        <v>129</v>
      </c>
    </row>
    <row r="264" spans="1:2" ht="16.5" customHeight="1">
      <c r="A264" s="318" t="s">
        <v>189</v>
      </c>
      <c r="B264" s="322" t="s">
        <v>129</v>
      </c>
    </row>
    <row r="265" spans="1:2" ht="16.5" customHeight="1">
      <c r="A265" s="318" t="s">
        <v>190</v>
      </c>
      <c r="B265" s="322" t="s">
        <v>129</v>
      </c>
    </row>
    <row r="266" spans="1:2" ht="16.5" customHeight="1">
      <c r="A266" s="318" t="s">
        <v>191</v>
      </c>
      <c r="B266" s="322" t="s">
        <v>132</v>
      </c>
    </row>
    <row r="267" spans="1:2" ht="16.5" customHeight="1">
      <c r="A267" s="318" t="s">
        <v>192</v>
      </c>
      <c r="B267" s="318" t="s">
        <v>125</v>
      </c>
    </row>
    <row r="268" spans="1:2" ht="16.5" customHeight="1">
      <c r="A268" s="318" t="s">
        <v>193</v>
      </c>
      <c r="B268" s="318" t="s">
        <v>128</v>
      </c>
    </row>
    <row r="269" spans="1:2" ht="16.5" customHeight="1">
      <c r="A269" s="318" t="s">
        <v>194</v>
      </c>
      <c r="B269" s="318" t="s">
        <v>98</v>
      </c>
    </row>
    <row r="270" spans="1:2" ht="16.5" customHeight="1">
      <c r="A270" s="317" t="s">
        <v>195</v>
      </c>
      <c r="B270" s="319" t="s">
        <v>130</v>
      </c>
    </row>
    <row r="271" spans="1:2" ht="16.5" customHeight="1">
      <c r="A271" s="318" t="s">
        <v>196</v>
      </c>
      <c r="B271" s="322" t="s">
        <v>130</v>
      </c>
    </row>
    <row r="272" spans="1:2" ht="16.5" customHeight="1">
      <c r="A272" s="318" t="s">
        <v>197</v>
      </c>
      <c r="B272" s="318" t="s">
        <v>125</v>
      </c>
    </row>
    <row r="273" spans="1:2" ht="16.5" customHeight="1">
      <c r="A273" s="318" t="s">
        <v>198</v>
      </c>
      <c r="B273" s="322" t="s">
        <v>98</v>
      </c>
    </row>
    <row r="274" spans="1:2" ht="16.5" customHeight="1">
      <c r="A274" s="317" t="s">
        <v>199</v>
      </c>
      <c r="B274" s="319" t="s">
        <v>98</v>
      </c>
    </row>
    <row r="275" spans="1:2" ht="16.5" customHeight="1">
      <c r="A275" s="317" t="s">
        <v>200</v>
      </c>
      <c r="B275" s="319" t="s">
        <v>125</v>
      </c>
    </row>
    <row r="276" spans="1:2" ht="16.5" customHeight="1">
      <c r="A276" s="317" t="s">
        <v>201</v>
      </c>
      <c r="B276" s="317" t="s">
        <v>125</v>
      </c>
    </row>
    <row r="277" spans="1:2" ht="16.5" customHeight="1">
      <c r="A277" s="317" t="s">
        <v>202</v>
      </c>
      <c r="B277" s="317" t="s">
        <v>125</v>
      </c>
    </row>
    <row r="278" spans="1:2" ht="16.5" customHeight="1">
      <c r="A278" s="317" t="s">
        <v>203</v>
      </c>
      <c r="B278" s="317" t="s">
        <v>125</v>
      </c>
    </row>
    <row r="279" spans="1:2" ht="16.5" customHeight="1">
      <c r="A279" s="318" t="s">
        <v>204</v>
      </c>
      <c r="B279" s="319" t="s">
        <v>128</v>
      </c>
    </row>
    <row r="280" spans="1:2" ht="16.5" customHeight="1">
      <c r="A280" s="317" t="s">
        <v>205</v>
      </c>
      <c r="B280" s="317" t="s">
        <v>125</v>
      </c>
    </row>
    <row r="281" spans="1:2" ht="16.5" customHeight="1">
      <c r="A281" s="317" t="s">
        <v>206</v>
      </c>
      <c r="B281" s="317" t="s">
        <v>125</v>
      </c>
    </row>
    <row r="282" spans="1:2" ht="16.5" customHeight="1">
      <c r="A282" s="317" t="s">
        <v>207</v>
      </c>
      <c r="B282" s="317" t="s">
        <v>125</v>
      </c>
    </row>
    <row r="283" spans="1:2" ht="16.5" customHeight="1">
      <c r="A283" s="318" t="s">
        <v>208</v>
      </c>
      <c r="B283" s="318" t="s">
        <v>125</v>
      </c>
    </row>
    <row r="284" spans="1:2" ht="16.5" customHeight="1">
      <c r="A284" s="318" t="s">
        <v>209</v>
      </c>
      <c r="B284" s="318" t="s">
        <v>125</v>
      </c>
    </row>
    <row r="285" spans="1:2" ht="16.5" customHeight="1">
      <c r="A285" s="317" t="s">
        <v>210</v>
      </c>
      <c r="B285" s="317" t="s">
        <v>125</v>
      </c>
    </row>
    <row r="286" spans="1:2" ht="16.5" customHeight="1">
      <c r="A286" s="317" t="s">
        <v>211</v>
      </c>
      <c r="B286" s="317" t="s">
        <v>125</v>
      </c>
    </row>
    <row r="287" spans="1:2" ht="16.5" customHeight="1">
      <c r="A287" s="317" t="s">
        <v>212</v>
      </c>
      <c r="B287" s="317" t="s">
        <v>125</v>
      </c>
    </row>
    <row r="288" spans="1:2" ht="16.5" customHeight="1">
      <c r="A288" s="317" t="s">
        <v>213</v>
      </c>
      <c r="B288" s="317" t="s">
        <v>125</v>
      </c>
    </row>
    <row r="289" spans="1:2" ht="16.5" customHeight="1">
      <c r="A289" s="317" t="s">
        <v>214</v>
      </c>
      <c r="B289" s="319" t="s">
        <v>128</v>
      </c>
    </row>
    <row r="290" spans="1:2" ht="16.5" customHeight="1">
      <c r="A290" s="318" t="s">
        <v>215</v>
      </c>
      <c r="B290" s="318" t="s">
        <v>125</v>
      </c>
    </row>
    <row r="291" spans="1:2" ht="16.5" customHeight="1">
      <c r="A291" s="318" t="s">
        <v>216</v>
      </c>
      <c r="B291" s="318" t="s">
        <v>125</v>
      </c>
    </row>
    <row r="292" spans="1:2" ht="16.5" customHeight="1">
      <c r="A292" s="317" t="s">
        <v>217</v>
      </c>
      <c r="B292" s="318" t="s">
        <v>154</v>
      </c>
    </row>
    <row r="293" spans="1:2" ht="16.5" customHeight="1">
      <c r="A293" s="318" t="s">
        <v>218</v>
      </c>
      <c r="B293" s="318" t="s">
        <v>128</v>
      </c>
    </row>
    <row r="294" spans="1:2" ht="16.5" customHeight="1">
      <c r="A294" s="318" t="s">
        <v>219</v>
      </c>
      <c r="B294" s="318" t="s">
        <v>128</v>
      </c>
    </row>
    <row r="295" spans="1:2" ht="16.5" customHeight="1">
      <c r="A295" s="318" t="s">
        <v>220</v>
      </c>
      <c r="B295" s="318" t="s">
        <v>128</v>
      </c>
    </row>
    <row r="296" spans="1:2" ht="16.5" customHeight="1">
      <c r="A296" s="317" t="s">
        <v>221</v>
      </c>
      <c r="B296" s="319" t="s">
        <v>98</v>
      </c>
    </row>
    <row r="297" spans="1:2" ht="16.5" customHeight="1">
      <c r="A297" s="317" t="s">
        <v>222</v>
      </c>
      <c r="B297" s="319" t="s">
        <v>31</v>
      </c>
    </row>
    <row r="298" spans="1:2" ht="16.5" customHeight="1">
      <c r="A298" s="317" t="s">
        <v>223</v>
      </c>
      <c r="B298" s="319" t="s">
        <v>125</v>
      </c>
    </row>
    <row r="299" spans="1:2" ht="16.5" customHeight="1">
      <c r="A299" s="317" t="s">
        <v>224</v>
      </c>
      <c r="B299" s="319" t="s">
        <v>98</v>
      </c>
    </row>
    <row r="300" spans="1:2" ht="16.5" customHeight="1">
      <c r="A300" s="318" t="s">
        <v>225</v>
      </c>
      <c r="B300" s="318" t="s">
        <v>125</v>
      </c>
    </row>
    <row r="301" spans="1:2" ht="16.5" customHeight="1">
      <c r="A301" s="318" t="s">
        <v>226</v>
      </c>
      <c r="B301" s="318" t="s">
        <v>125</v>
      </c>
    </row>
    <row r="302" spans="1:2" ht="16.5" customHeight="1">
      <c r="A302" s="318" t="s">
        <v>227</v>
      </c>
      <c r="B302" s="318" t="s">
        <v>125</v>
      </c>
    </row>
    <row r="303" spans="1:2" ht="16.5" customHeight="1">
      <c r="A303" s="318" t="s">
        <v>228</v>
      </c>
      <c r="B303" s="318" t="s">
        <v>132</v>
      </c>
    </row>
    <row r="304" spans="1:2" ht="16.5" customHeight="1">
      <c r="A304" s="317" t="s">
        <v>229</v>
      </c>
      <c r="B304" s="319" t="s">
        <v>130</v>
      </c>
    </row>
    <row r="305" spans="1:2" ht="16.5" customHeight="1">
      <c r="A305" s="318" t="s">
        <v>230</v>
      </c>
      <c r="B305" s="318" t="s">
        <v>130</v>
      </c>
    </row>
    <row r="306" spans="1:2" ht="16.5" customHeight="1">
      <c r="A306" s="317" t="s">
        <v>231</v>
      </c>
      <c r="B306" s="319" t="s">
        <v>129</v>
      </c>
    </row>
    <row r="307" spans="1:2" ht="16.5" customHeight="1">
      <c r="A307" s="317" t="s">
        <v>232</v>
      </c>
      <c r="B307" s="319" t="s">
        <v>129</v>
      </c>
    </row>
    <row r="308" spans="1:2" ht="16.5" customHeight="1">
      <c r="A308" s="317" t="s">
        <v>233</v>
      </c>
      <c r="B308" s="319" t="s">
        <v>98</v>
      </c>
    </row>
    <row r="309" spans="1:2" ht="16.5" customHeight="1">
      <c r="A309" s="317" t="s">
        <v>234</v>
      </c>
      <c r="B309" s="317" t="s">
        <v>128</v>
      </c>
    </row>
    <row r="310" spans="1:2" ht="16.5" customHeight="1">
      <c r="A310" s="318" t="s">
        <v>235</v>
      </c>
      <c r="B310" s="322" t="s">
        <v>129</v>
      </c>
    </row>
    <row r="311" spans="1:2" ht="16.5" customHeight="1">
      <c r="A311" s="318" t="s">
        <v>236</v>
      </c>
      <c r="B311" s="322" t="s">
        <v>129</v>
      </c>
    </row>
    <row r="312" spans="1:2" ht="16.5" customHeight="1">
      <c r="A312" s="318" t="s">
        <v>237</v>
      </c>
      <c r="B312" s="322" t="s">
        <v>129</v>
      </c>
    </row>
    <row r="313" spans="1:2" ht="16.5" customHeight="1">
      <c r="A313" s="318" t="s">
        <v>238</v>
      </c>
      <c r="B313" s="318" t="s">
        <v>125</v>
      </c>
    </row>
    <row r="314" spans="1:2" ht="16.5" customHeight="1">
      <c r="A314" s="318" t="s">
        <v>239</v>
      </c>
      <c r="B314" s="318" t="s">
        <v>125</v>
      </c>
    </row>
    <row r="315" spans="1:2" ht="16.5" customHeight="1">
      <c r="A315" s="318" t="s">
        <v>240</v>
      </c>
      <c r="B315" s="318" t="s">
        <v>125</v>
      </c>
    </row>
    <row r="316" spans="1:2" ht="16.5" customHeight="1">
      <c r="A316" s="318" t="s">
        <v>241</v>
      </c>
      <c r="B316" s="318" t="s">
        <v>125</v>
      </c>
    </row>
    <row r="317" spans="1:2" ht="16.5" customHeight="1">
      <c r="A317" s="318" t="s">
        <v>242</v>
      </c>
      <c r="B317" s="318" t="s">
        <v>125</v>
      </c>
    </row>
    <row r="318" spans="1:2" ht="16.5" customHeight="1">
      <c r="A318" s="318" t="s">
        <v>243</v>
      </c>
      <c r="B318" s="318" t="s">
        <v>125</v>
      </c>
    </row>
    <row r="319" spans="1:2" ht="16.5" customHeight="1">
      <c r="A319" s="318" t="s">
        <v>244</v>
      </c>
      <c r="B319" s="322" t="s">
        <v>129</v>
      </c>
    </row>
    <row r="320" spans="1:2" ht="16.5" customHeight="1">
      <c r="A320" s="317" t="s">
        <v>245</v>
      </c>
      <c r="B320" s="319" t="s">
        <v>125</v>
      </c>
    </row>
    <row r="321" spans="1:2" ht="16.5" customHeight="1">
      <c r="A321" s="317" t="s">
        <v>246</v>
      </c>
      <c r="B321" s="319" t="s">
        <v>129</v>
      </c>
    </row>
    <row r="322" spans="1:2" ht="16.5" customHeight="1">
      <c r="A322" s="317" t="s">
        <v>247</v>
      </c>
      <c r="B322" s="319" t="s">
        <v>132</v>
      </c>
    </row>
    <row r="323" spans="1:2" ht="16.5" customHeight="1">
      <c r="A323" s="317" t="s">
        <v>248</v>
      </c>
      <c r="B323" s="319" t="s">
        <v>129</v>
      </c>
    </row>
    <row r="324" spans="1:2" ht="16.5" customHeight="1">
      <c r="A324" s="317" t="s">
        <v>249</v>
      </c>
      <c r="B324" s="319" t="s">
        <v>125</v>
      </c>
    </row>
    <row r="325" spans="1:2" ht="16.5" customHeight="1">
      <c r="A325" s="318" t="s">
        <v>250</v>
      </c>
      <c r="B325" s="322" t="s">
        <v>128</v>
      </c>
    </row>
    <row r="326" spans="1:2" ht="16.5" customHeight="1">
      <c r="A326" s="318" t="s">
        <v>251</v>
      </c>
      <c r="B326" s="322" t="s">
        <v>128</v>
      </c>
    </row>
    <row r="327" spans="1:2" ht="16.5" customHeight="1">
      <c r="A327" s="317" t="s">
        <v>252</v>
      </c>
      <c r="B327" s="319" t="s">
        <v>129</v>
      </c>
    </row>
    <row r="328" spans="1:2" ht="16.5" customHeight="1">
      <c r="A328" s="317" t="s">
        <v>253</v>
      </c>
      <c r="B328" s="319" t="s">
        <v>129</v>
      </c>
    </row>
    <row r="329" spans="1:2" ht="16.5" customHeight="1">
      <c r="A329" s="318" t="s">
        <v>254</v>
      </c>
      <c r="B329" s="322" t="s">
        <v>128</v>
      </c>
    </row>
    <row r="330" spans="1:2" ht="16.5" customHeight="1">
      <c r="A330" s="317" t="s">
        <v>255</v>
      </c>
      <c r="B330" s="319" t="s">
        <v>128</v>
      </c>
    </row>
    <row r="331" spans="1:2" ht="16.5" customHeight="1">
      <c r="A331" s="317" t="s">
        <v>256</v>
      </c>
      <c r="B331" s="319" t="s">
        <v>98</v>
      </c>
    </row>
    <row r="332" spans="1:2" ht="16.5" customHeight="1">
      <c r="A332" s="317" t="s">
        <v>257</v>
      </c>
      <c r="B332" s="319" t="s">
        <v>98</v>
      </c>
    </row>
    <row r="333" spans="1:2" ht="16.5" customHeight="1">
      <c r="A333" s="318" t="s">
        <v>258</v>
      </c>
      <c r="B333" s="322" t="s">
        <v>125</v>
      </c>
    </row>
    <row r="334" spans="1:2" ht="16.5" customHeight="1">
      <c r="A334" s="317" t="s">
        <v>259</v>
      </c>
      <c r="B334" s="319" t="s">
        <v>125</v>
      </c>
    </row>
    <row r="335" spans="1:2" ht="16.5" customHeight="1">
      <c r="A335" s="318" t="s">
        <v>260</v>
      </c>
      <c r="B335" s="319" t="s">
        <v>130</v>
      </c>
    </row>
    <row r="336" spans="1:2" ht="16.5" customHeight="1">
      <c r="A336" s="318" t="s">
        <v>261</v>
      </c>
      <c r="B336" s="319" t="s">
        <v>130</v>
      </c>
    </row>
    <row r="337" spans="1:2" ht="16.5" customHeight="1">
      <c r="A337" s="317" t="s">
        <v>262</v>
      </c>
      <c r="B337" s="319" t="s">
        <v>125</v>
      </c>
    </row>
    <row r="338" spans="1:2" ht="16.5" customHeight="1">
      <c r="A338" s="317" t="s">
        <v>263</v>
      </c>
      <c r="B338" s="319" t="s">
        <v>98</v>
      </c>
    </row>
    <row r="339" spans="1:2" ht="16.5" customHeight="1">
      <c r="A339" s="317" t="s">
        <v>264</v>
      </c>
      <c r="B339" s="319" t="s">
        <v>128</v>
      </c>
    </row>
    <row r="340" spans="1:2" ht="16.5" customHeight="1">
      <c r="A340" s="318" t="s">
        <v>265</v>
      </c>
      <c r="B340" s="319" t="s">
        <v>125</v>
      </c>
    </row>
    <row r="341" spans="1:2" ht="16.5" customHeight="1">
      <c r="A341" s="318" t="s">
        <v>266</v>
      </c>
      <c r="B341" s="319" t="s">
        <v>125</v>
      </c>
    </row>
    <row r="342" spans="1:2" ht="16.5" customHeight="1">
      <c r="A342" s="317" t="s">
        <v>267</v>
      </c>
      <c r="B342" s="319" t="s">
        <v>129</v>
      </c>
    </row>
    <row r="343" spans="1:2" ht="16.5" customHeight="1">
      <c r="A343" s="318" t="s">
        <v>268</v>
      </c>
      <c r="B343" s="319" t="s">
        <v>125</v>
      </c>
    </row>
    <row r="344" spans="1:2" ht="16.5" customHeight="1">
      <c r="A344" s="318" t="s">
        <v>269</v>
      </c>
      <c r="B344" s="319" t="s">
        <v>129</v>
      </c>
    </row>
    <row r="345" spans="1:2" ht="16.5" customHeight="1">
      <c r="A345" s="318" t="s">
        <v>270</v>
      </c>
      <c r="B345" s="319" t="s">
        <v>125</v>
      </c>
    </row>
    <row r="346" spans="1:2" ht="16.5" customHeight="1">
      <c r="A346" s="317" t="s">
        <v>271</v>
      </c>
      <c r="B346" s="319" t="s">
        <v>132</v>
      </c>
    </row>
    <row r="347" spans="1:2" ht="16.5" customHeight="1">
      <c r="A347" s="317" t="s">
        <v>272</v>
      </c>
      <c r="B347" s="319" t="s">
        <v>98</v>
      </c>
    </row>
    <row r="348" spans="1:2" ht="16.5" customHeight="1">
      <c r="A348" s="317" t="s">
        <v>273</v>
      </c>
      <c r="B348" s="319" t="s">
        <v>129</v>
      </c>
    </row>
    <row r="349" spans="1:2" ht="16.5" customHeight="1">
      <c r="A349" s="317" t="s">
        <v>274</v>
      </c>
      <c r="B349" s="319" t="s">
        <v>98</v>
      </c>
    </row>
    <row r="350" spans="1:2" ht="16.5" customHeight="1">
      <c r="A350" s="317" t="s">
        <v>275</v>
      </c>
      <c r="B350" s="319" t="s">
        <v>129</v>
      </c>
    </row>
    <row r="351" spans="1:2" ht="16.5" customHeight="1">
      <c r="A351" s="317" t="s">
        <v>276</v>
      </c>
      <c r="B351" s="319" t="s">
        <v>98</v>
      </c>
    </row>
    <row r="352" spans="1:2" ht="16.5" customHeight="1">
      <c r="A352" s="317" t="s">
        <v>277</v>
      </c>
      <c r="B352" s="319" t="s">
        <v>98</v>
      </c>
    </row>
    <row r="353" spans="1:2" ht="16.5" customHeight="1">
      <c r="A353" s="317" t="s">
        <v>278</v>
      </c>
      <c r="B353" s="319" t="s">
        <v>98</v>
      </c>
    </row>
    <row r="354" spans="1:2" ht="16.5" customHeight="1">
      <c r="A354" s="317" t="s">
        <v>279</v>
      </c>
      <c r="B354" s="319" t="s">
        <v>98</v>
      </c>
    </row>
    <row r="355" spans="1:2" ht="16.5" customHeight="1">
      <c r="A355" s="317" t="s">
        <v>280</v>
      </c>
      <c r="B355" s="319" t="s">
        <v>125</v>
      </c>
    </row>
    <row r="356" spans="1:2" ht="16.5" customHeight="1">
      <c r="A356" s="317" t="s">
        <v>281</v>
      </c>
      <c r="B356" s="319" t="s">
        <v>125</v>
      </c>
    </row>
    <row r="357" spans="1:2" ht="16.5" customHeight="1">
      <c r="A357" s="317" t="s">
        <v>282</v>
      </c>
      <c r="B357" s="319" t="s">
        <v>98</v>
      </c>
    </row>
    <row r="358" spans="1:2" ht="16.5" customHeight="1">
      <c r="A358" s="317" t="s">
        <v>283</v>
      </c>
      <c r="B358" s="319" t="s">
        <v>125</v>
      </c>
    </row>
    <row r="359" spans="1:2" ht="16.5" customHeight="1">
      <c r="A359" s="317" t="s">
        <v>284</v>
      </c>
      <c r="B359" s="319" t="s">
        <v>98</v>
      </c>
    </row>
    <row r="360" spans="1:2" ht="16.5" customHeight="1">
      <c r="A360" s="317" t="s">
        <v>285</v>
      </c>
      <c r="B360" s="319" t="s">
        <v>98</v>
      </c>
    </row>
    <row r="361" spans="1:2" ht="16.5" customHeight="1">
      <c r="A361" s="317" t="s">
        <v>286</v>
      </c>
      <c r="B361" s="319" t="s">
        <v>130</v>
      </c>
    </row>
    <row r="362" spans="1:2" ht="16.5" customHeight="1">
      <c r="A362" s="317" t="s">
        <v>287</v>
      </c>
      <c r="B362" s="319" t="s">
        <v>125</v>
      </c>
    </row>
    <row r="363" spans="1:2" ht="16.5" customHeight="1">
      <c r="A363" s="317" t="s">
        <v>288</v>
      </c>
      <c r="B363" s="319" t="s">
        <v>98</v>
      </c>
    </row>
    <row r="364" spans="1:2" ht="16.5" customHeight="1">
      <c r="A364" s="317" t="s">
        <v>289</v>
      </c>
      <c r="B364" s="319" t="s">
        <v>98</v>
      </c>
    </row>
    <row r="365" spans="1:2" ht="16.5" customHeight="1">
      <c r="A365" s="317" t="s">
        <v>290</v>
      </c>
      <c r="B365" s="319" t="s">
        <v>98</v>
      </c>
    </row>
    <row r="366" spans="1:2" ht="16.5" customHeight="1">
      <c r="A366" s="317" t="s">
        <v>291</v>
      </c>
      <c r="B366" s="319" t="s">
        <v>98</v>
      </c>
    </row>
    <row r="367" spans="1:2" ht="16.5" customHeight="1">
      <c r="A367" s="317" t="s">
        <v>292</v>
      </c>
      <c r="B367" s="319" t="s">
        <v>129</v>
      </c>
    </row>
    <row r="368" spans="1:2" ht="16.5" customHeight="1">
      <c r="A368" s="317" t="s">
        <v>293</v>
      </c>
      <c r="B368" s="319" t="s">
        <v>98</v>
      </c>
    </row>
    <row r="369" spans="1:2" ht="16.5" customHeight="1">
      <c r="A369" s="317" t="s">
        <v>294</v>
      </c>
      <c r="B369" s="319" t="s">
        <v>98</v>
      </c>
    </row>
    <row r="370" spans="1:2" ht="16.5" customHeight="1">
      <c r="A370" s="318" t="s">
        <v>295</v>
      </c>
      <c r="B370" s="318" t="s">
        <v>128</v>
      </c>
    </row>
    <row r="371" spans="1:2" ht="16.5" customHeight="1">
      <c r="A371" s="317" t="s">
        <v>296</v>
      </c>
      <c r="B371" s="319" t="s">
        <v>98</v>
      </c>
    </row>
    <row r="372" spans="1:2" ht="16.5" customHeight="1">
      <c r="A372" s="317" t="s">
        <v>297</v>
      </c>
      <c r="B372" s="319" t="s">
        <v>129</v>
      </c>
    </row>
    <row r="373" spans="1:2" ht="16.5" customHeight="1">
      <c r="A373" s="317" t="s">
        <v>298</v>
      </c>
      <c r="B373" s="319" t="s">
        <v>129</v>
      </c>
    </row>
    <row r="374" spans="1:2" ht="16.5" customHeight="1">
      <c r="A374" s="317" t="s">
        <v>299</v>
      </c>
      <c r="B374" s="319" t="s">
        <v>98</v>
      </c>
    </row>
    <row r="375" spans="1:2" ht="16.5" customHeight="1">
      <c r="A375" s="317" t="s">
        <v>300</v>
      </c>
      <c r="B375" s="319" t="s">
        <v>98</v>
      </c>
    </row>
    <row r="376" spans="1:2" ht="16.5" customHeight="1">
      <c r="A376" s="317" t="s">
        <v>301</v>
      </c>
      <c r="B376" s="319" t="s">
        <v>98</v>
      </c>
    </row>
    <row r="377" spans="1:2" ht="16.5" customHeight="1">
      <c r="A377" s="317" t="s">
        <v>302</v>
      </c>
      <c r="B377" s="319" t="s">
        <v>98</v>
      </c>
    </row>
    <row r="378" spans="1:2" ht="16.5" customHeight="1">
      <c r="A378" s="317" t="s">
        <v>303</v>
      </c>
      <c r="B378" s="319" t="s">
        <v>31</v>
      </c>
    </row>
    <row r="379" spans="1:2" ht="16.5" customHeight="1">
      <c r="A379" s="317" t="s">
        <v>304</v>
      </c>
      <c r="B379" s="319" t="s">
        <v>125</v>
      </c>
    </row>
    <row r="380" spans="1:2" ht="16.5" customHeight="1">
      <c r="A380" s="317" t="s">
        <v>305</v>
      </c>
      <c r="B380" s="319" t="s">
        <v>129</v>
      </c>
    </row>
    <row r="381" spans="1:2" ht="16.5" customHeight="1">
      <c r="A381" s="317" t="s">
        <v>306</v>
      </c>
      <c r="B381" s="319" t="s">
        <v>128</v>
      </c>
    </row>
    <row r="382" spans="1:2" ht="16.5" customHeight="1">
      <c r="A382" s="317" t="s">
        <v>307</v>
      </c>
      <c r="B382" s="319" t="s">
        <v>98</v>
      </c>
    </row>
    <row r="383" spans="1:2" ht="16.5" customHeight="1">
      <c r="A383" s="317" t="s">
        <v>308</v>
      </c>
      <c r="B383" s="319" t="s">
        <v>128</v>
      </c>
    </row>
    <row r="384" spans="1:2" ht="16.5" customHeight="1">
      <c r="A384" s="317" t="s">
        <v>309</v>
      </c>
      <c r="B384" s="319" t="s">
        <v>98</v>
      </c>
    </row>
    <row r="385" spans="1:2" ht="16.5" customHeight="1">
      <c r="A385" s="317" t="s">
        <v>310</v>
      </c>
      <c r="B385" s="319" t="s">
        <v>128</v>
      </c>
    </row>
    <row r="386" spans="1:2" ht="16.5" customHeight="1">
      <c r="A386" s="317" t="s">
        <v>311</v>
      </c>
      <c r="B386" s="319" t="s">
        <v>128</v>
      </c>
    </row>
    <row r="387" spans="1:2" ht="16.5" customHeight="1">
      <c r="A387" s="318" t="s">
        <v>312</v>
      </c>
      <c r="B387" s="319" t="s">
        <v>98</v>
      </c>
    </row>
    <row r="388" spans="1:2" ht="16.5" customHeight="1">
      <c r="A388" s="317" t="s">
        <v>313</v>
      </c>
      <c r="B388" s="319" t="s">
        <v>129</v>
      </c>
    </row>
    <row r="389" spans="1:2" ht="16.5" customHeight="1">
      <c r="A389" s="317" t="s">
        <v>314</v>
      </c>
      <c r="B389" s="319" t="s">
        <v>98</v>
      </c>
    </row>
    <row r="390" spans="1:2" ht="16.5" customHeight="1">
      <c r="A390" s="317" t="s">
        <v>80</v>
      </c>
      <c r="B390" s="319" t="s">
        <v>31</v>
      </c>
    </row>
    <row r="391" spans="1:2" ht="16.5" customHeight="1">
      <c r="A391" s="317" t="s">
        <v>315</v>
      </c>
      <c r="B391" s="319" t="s">
        <v>125</v>
      </c>
    </row>
    <row r="392" spans="1:2" ht="16.5" customHeight="1">
      <c r="A392" s="318" t="s">
        <v>316</v>
      </c>
      <c r="B392" s="318" t="s">
        <v>98</v>
      </c>
    </row>
    <row r="393" spans="1:2" ht="16.5" customHeight="1">
      <c r="A393" s="318" t="s">
        <v>317</v>
      </c>
      <c r="B393" s="321" t="s">
        <v>98</v>
      </c>
    </row>
    <row r="394" spans="1:2" ht="16.5" customHeight="1">
      <c r="A394" s="317" t="s">
        <v>318</v>
      </c>
      <c r="B394" s="319" t="s">
        <v>125</v>
      </c>
    </row>
    <row r="395" spans="1:2" ht="16.5" customHeight="1">
      <c r="A395" s="317" t="s">
        <v>319</v>
      </c>
      <c r="B395" s="319" t="s">
        <v>125</v>
      </c>
    </row>
    <row r="396" spans="1:2" ht="16.5" customHeight="1">
      <c r="A396" s="317" t="s">
        <v>320</v>
      </c>
      <c r="B396" s="319" t="s">
        <v>125</v>
      </c>
    </row>
    <row r="397" spans="1:2" ht="16.5" customHeight="1">
      <c r="A397" s="317">
        <v>14891</v>
      </c>
      <c r="B397" s="319" t="s">
        <v>125</v>
      </c>
    </row>
    <row r="398" spans="1:2" ht="16.5" customHeight="1">
      <c r="A398" s="317">
        <v>11654</v>
      </c>
      <c r="B398" s="317" t="s">
        <v>125</v>
      </c>
    </row>
    <row r="399" spans="1:2" ht="16.5" customHeight="1">
      <c r="A399" s="317">
        <v>11655</v>
      </c>
      <c r="B399" s="317" t="s">
        <v>125</v>
      </c>
    </row>
    <row r="400" spans="1:2" ht="16.5" customHeight="1">
      <c r="A400" s="317">
        <v>11890</v>
      </c>
      <c r="B400" s="317" t="s">
        <v>129</v>
      </c>
    </row>
    <row r="401" spans="1:2" ht="16.5" customHeight="1">
      <c r="A401" s="317">
        <v>12251</v>
      </c>
      <c r="B401" s="317" t="s">
        <v>125</v>
      </c>
    </row>
    <row r="402" spans="1:2" ht="16.5" customHeight="1">
      <c r="A402" s="317">
        <v>12284</v>
      </c>
      <c r="B402" s="317" t="s">
        <v>125</v>
      </c>
    </row>
    <row r="403" spans="1:2" ht="16.5" customHeight="1">
      <c r="A403" s="317">
        <v>12315</v>
      </c>
      <c r="B403" s="317" t="s">
        <v>125</v>
      </c>
    </row>
    <row r="404" spans="1:2" ht="16.5" customHeight="1">
      <c r="A404" s="317">
        <v>12321</v>
      </c>
      <c r="B404" s="317" t="s">
        <v>125</v>
      </c>
    </row>
    <row r="405" spans="1:2" ht="16.5" customHeight="1">
      <c r="A405" s="317">
        <v>12328</v>
      </c>
      <c r="B405" s="317" t="s">
        <v>125</v>
      </c>
    </row>
    <row r="406" spans="1:2" ht="16.5" customHeight="1">
      <c r="A406" s="317">
        <v>12393</v>
      </c>
      <c r="B406" s="317" t="s">
        <v>125</v>
      </c>
    </row>
    <row r="407" spans="1:2" ht="16.5" customHeight="1">
      <c r="A407" s="317">
        <v>12427</v>
      </c>
      <c r="B407" s="317" t="s">
        <v>125</v>
      </c>
    </row>
    <row r="408" spans="1:2" ht="16.5" customHeight="1">
      <c r="A408" s="317">
        <v>12433</v>
      </c>
      <c r="B408" s="317" t="s">
        <v>129</v>
      </c>
    </row>
    <row r="409" spans="1:2" ht="16.5" customHeight="1">
      <c r="A409" s="317">
        <v>12470</v>
      </c>
      <c r="B409" s="317" t="s">
        <v>129</v>
      </c>
    </row>
    <row r="410" spans="1:2" ht="16.5" customHeight="1">
      <c r="A410" s="317">
        <v>13416</v>
      </c>
      <c r="B410" s="317" t="s">
        <v>125</v>
      </c>
    </row>
    <row r="411" spans="1:2" ht="16.5" customHeight="1">
      <c r="A411" s="317">
        <v>13435</v>
      </c>
      <c r="B411" s="317" t="s">
        <v>125</v>
      </c>
    </row>
    <row r="412" spans="1:2" ht="16.5" customHeight="1">
      <c r="A412" s="317">
        <v>39032</v>
      </c>
      <c r="B412" s="317" t="s">
        <v>98</v>
      </c>
    </row>
    <row r="413" spans="1:2" ht="16.5" customHeight="1">
      <c r="A413" s="317" t="s">
        <v>321</v>
      </c>
      <c r="B413" s="317" t="s">
        <v>132</v>
      </c>
    </row>
    <row r="414" spans="1:2" ht="16.5" customHeight="1">
      <c r="A414" s="317" t="s">
        <v>322</v>
      </c>
      <c r="B414" s="317" t="s">
        <v>129</v>
      </c>
    </row>
    <row r="415" spans="1:2" ht="16.5" customHeight="1">
      <c r="A415" s="317" t="s">
        <v>323</v>
      </c>
      <c r="B415" s="317" t="s">
        <v>129</v>
      </c>
    </row>
    <row r="416" spans="1:2" ht="16.5" customHeight="1">
      <c r="A416" s="317" t="s">
        <v>324</v>
      </c>
      <c r="B416" s="317" t="s">
        <v>130</v>
      </c>
    </row>
    <row r="417" spans="1:2" ht="16.5" customHeight="1">
      <c r="A417" s="317" t="s">
        <v>325</v>
      </c>
      <c r="B417" s="317" t="s">
        <v>130</v>
      </c>
    </row>
    <row r="418" spans="1:2" ht="16.5" customHeight="1">
      <c r="A418" s="317">
        <v>30290</v>
      </c>
      <c r="B418" s="319" t="s">
        <v>30</v>
      </c>
    </row>
    <row r="419" spans="1:2" ht="16.5" customHeight="1">
      <c r="A419" s="318">
        <v>34351</v>
      </c>
      <c r="B419" s="322" t="s">
        <v>125</v>
      </c>
    </row>
    <row r="420" spans="1:2" ht="16.5" customHeight="1">
      <c r="A420" s="318">
        <v>34501</v>
      </c>
      <c r="B420" s="322" t="s">
        <v>30</v>
      </c>
    </row>
    <row r="421" spans="1:2" ht="16.5" customHeight="1">
      <c r="A421" s="317">
        <v>35100</v>
      </c>
      <c r="B421" s="317" t="s">
        <v>98</v>
      </c>
    </row>
    <row r="422" spans="1:2" ht="16.5" customHeight="1">
      <c r="A422" s="317">
        <v>35101</v>
      </c>
      <c r="B422" s="319" t="s">
        <v>98</v>
      </c>
    </row>
    <row r="423" spans="1:2" ht="16.5" customHeight="1">
      <c r="A423" s="317">
        <v>35110</v>
      </c>
      <c r="B423" s="317" t="s">
        <v>98</v>
      </c>
    </row>
    <row r="424" spans="1:2" ht="16.5" customHeight="1">
      <c r="A424" s="317">
        <v>35201</v>
      </c>
      <c r="B424" s="319" t="s">
        <v>98</v>
      </c>
    </row>
    <row r="425" spans="1:2" ht="16.5" customHeight="1">
      <c r="A425" s="317">
        <v>35310</v>
      </c>
      <c r="B425" s="319" t="s">
        <v>130</v>
      </c>
    </row>
    <row r="426" spans="1:2" ht="16.5" customHeight="1">
      <c r="A426" s="317">
        <v>35600</v>
      </c>
      <c r="B426" s="317" t="s">
        <v>130</v>
      </c>
    </row>
    <row r="427" spans="1:2" ht="16.5" customHeight="1">
      <c r="A427" s="318">
        <v>35601</v>
      </c>
      <c r="B427" s="319" t="s">
        <v>130</v>
      </c>
    </row>
    <row r="428" spans="1:2" ht="16.5" customHeight="1">
      <c r="A428" s="318">
        <v>35602</v>
      </c>
      <c r="B428" s="319" t="s">
        <v>130</v>
      </c>
    </row>
    <row r="429" spans="1:2" ht="16.5" customHeight="1">
      <c r="A429" s="318">
        <v>35701</v>
      </c>
      <c r="B429" s="319" t="s">
        <v>130</v>
      </c>
    </row>
    <row r="430" spans="1:2" ht="16.5" customHeight="1">
      <c r="A430" s="317">
        <v>39100</v>
      </c>
      <c r="B430" s="319" t="s">
        <v>30</v>
      </c>
    </row>
    <row r="431" spans="1:2" ht="16.5" customHeight="1">
      <c r="A431" s="317">
        <v>40631</v>
      </c>
      <c r="B431" s="317" t="s">
        <v>31</v>
      </c>
    </row>
    <row r="432" spans="1:2" ht="16.5" customHeight="1">
      <c r="A432" s="318">
        <v>40641</v>
      </c>
      <c r="B432" s="321" t="s">
        <v>98</v>
      </c>
    </row>
    <row r="433" spans="1:2" ht="16.5" customHeight="1">
      <c r="A433" s="318">
        <v>42402</v>
      </c>
      <c r="B433" s="318" t="s">
        <v>30</v>
      </c>
    </row>
    <row r="434" spans="1:2" ht="16.5" customHeight="1">
      <c r="A434" s="317">
        <v>42403</v>
      </c>
      <c r="B434" s="319" t="s">
        <v>31</v>
      </c>
    </row>
    <row r="435" spans="1:2" ht="16.5" customHeight="1">
      <c r="A435" s="318">
        <v>42411</v>
      </c>
      <c r="B435" s="318" t="s">
        <v>30</v>
      </c>
    </row>
    <row r="436" spans="1:2" ht="16.5" customHeight="1">
      <c r="A436" s="317">
        <v>42502</v>
      </c>
      <c r="B436" s="317" t="s">
        <v>30</v>
      </c>
    </row>
    <row r="437" spans="1:2" ht="16.5" customHeight="1">
      <c r="A437" s="317">
        <v>42503</v>
      </c>
      <c r="B437" s="319" t="s">
        <v>31</v>
      </c>
    </row>
    <row r="438" spans="1:2" ht="16.5" customHeight="1">
      <c r="A438" s="317">
        <v>42701</v>
      </c>
      <c r="B438" s="317" t="s">
        <v>30</v>
      </c>
    </row>
    <row r="439" spans="1:2" ht="16.5" customHeight="1">
      <c r="A439" s="318">
        <v>42710</v>
      </c>
      <c r="B439" s="319" t="s">
        <v>30</v>
      </c>
    </row>
    <row r="440" spans="1:2" ht="16.5" customHeight="1">
      <c r="A440" s="317">
        <v>42750</v>
      </c>
      <c r="B440" s="319" t="s">
        <v>30</v>
      </c>
    </row>
    <row r="441" spans="1:2" ht="16.5" customHeight="1">
      <c r="A441" s="317">
        <v>43801</v>
      </c>
      <c r="B441" s="317" t="s">
        <v>30</v>
      </c>
    </row>
    <row r="442" spans="1:2" ht="16.5" customHeight="1">
      <c r="A442" s="317">
        <v>43900</v>
      </c>
      <c r="B442" s="319" t="s">
        <v>31</v>
      </c>
    </row>
    <row r="443" spans="1:2" ht="16.5" customHeight="1">
      <c r="A443" s="317">
        <v>44000</v>
      </c>
      <c r="B443" s="319" t="s">
        <v>31</v>
      </c>
    </row>
    <row r="444" spans="1:2" ht="16.5" customHeight="1">
      <c r="A444" s="317">
        <v>94021</v>
      </c>
      <c r="B444" s="319" t="s">
        <v>98</v>
      </c>
    </row>
    <row r="445" spans="1:2" ht="16.5" customHeight="1">
      <c r="A445" s="317">
        <v>94022</v>
      </c>
      <c r="B445" s="319" t="s">
        <v>98</v>
      </c>
    </row>
    <row r="446" spans="1:2" ht="16.5" customHeight="1">
      <c r="A446" s="317">
        <v>94025</v>
      </c>
      <c r="B446" s="319" t="s">
        <v>98</v>
      </c>
    </row>
    <row r="447" spans="1:2" ht="16.5" customHeight="1">
      <c r="A447" s="317">
        <v>94026</v>
      </c>
      <c r="B447" s="319" t="s">
        <v>98</v>
      </c>
    </row>
    <row r="448" spans="1:2" ht="16.5" customHeight="1">
      <c r="A448" s="317">
        <v>94027</v>
      </c>
      <c r="B448" s="319" t="s">
        <v>98</v>
      </c>
    </row>
    <row r="449" spans="1:2" ht="16.5" customHeight="1">
      <c r="A449" s="317">
        <v>94028</v>
      </c>
      <c r="B449" s="319" t="s">
        <v>98</v>
      </c>
    </row>
    <row r="450" spans="1:2" ht="16.5" customHeight="1">
      <c r="A450" s="317">
        <v>94029</v>
      </c>
      <c r="B450" s="319" t="s">
        <v>98</v>
      </c>
    </row>
    <row r="451" spans="1:2" ht="16.5" customHeight="1">
      <c r="A451" s="318">
        <v>61011</v>
      </c>
      <c r="B451" s="319" t="s">
        <v>130</v>
      </c>
    </row>
    <row r="452" spans="1:2" ht="16.5" customHeight="1">
      <c r="A452" s="318">
        <v>61021</v>
      </c>
      <c r="B452" s="318" t="s">
        <v>130</v>
      </c>
    </row>
    <row r="453" spans="1:2" ht="16.5" customHeight="1">
      <c r="A453" s="317">
        <v>61031</v>
      </c>
      <c r="B453" s="319" t="s">
        <v>128</v>
      </c>
    </row>
    <row r="454" spans="1:2" ht="16.5" customHeight="1">
      <c r="A454" s="317">
        <v>61101</v>
      </c>
      <c r="B454" s="317" t="s">
        <v>31</v>
      </c>
    </row>
    <row r="455" spans="1:2" ht="16.5" customHeight="1">
      <c r="A455" s="317">
        <v>62000</v>
      </c>
      <c r="B455" s="317" t="s">
        <v>31</v>
      </c>
    </row>
    <row r="456" spans="1:2" ht="16.5" customHeight="1">
      <c r="A456" s="317">
        <v>62001</v>
      </c>
      <c r="B456" s="317" t="s">
        <v>31</v>
      </c>
    </row>
    <row r="457" spans="1:2" ht="16.5" customHeight="1">
      <c r="A457" s="317">
        <v>62002</v>
      </c>
      <c r="B457" s="317" t="s">
        <v>31</v>
      </c>
    </row>
    <row r="458" spans="1:2" ht="16.5" customHeight="1">
      <c r="A458" s="317">
        <v>62003</v>
      </c>
      <c r="B458" s="317" t="s">
        <v>31</v>
      </c>
    </row>
    <row r="459" spans="1:2" ht="16.5" customHeight="1">
      <c r="A459" s="317">
        <v>62004</v>
      </c>
      <c r="B459" s="317" t="s">
        <v>31</v>
      </c>
    </row>
    <row r="460" spans="1:2" ht="16.5" customHeight="1">
      <c r="A460" s="318">
        <v>62111</v>
      </c>
      <c r="B460" s="321" t="s">
        <v>30</v>
      </c>
    </row>
    <row r="461" spans="1:2" ht="16.5" customHeight="1">
      <c r="A461" s="317">
        <v>62301</v>
      </c>
      <c r="B461" s="319" t="s">
        <v>30</v>
      </c>
    </row>
    <row r="462" spans="1:2" ht="16.5" customHeight="1">
      <c r="A462" s="317">
        <v>62511</v>
      </c>
      <c r="B462" s="317" t="s">
        <v>31</v>
      </c>
    </row>
    <row r="463" spans="1:2" ht="16.5" customHeight="1">
      <c r="A463" s="317">
        <v>63001</v>
      </c>
      <c r="B463" s="317" t="s">
        <v>31</v>
      </c>
    </row>
    <row r="464" spans="1:2" ht="16.5" customHeight="1">
      <c r="A464" s="317">
        <v>63101</v>
      </c>
      <c r="B464" s="317" t="s">
        <v>31</v>
      </c>
    </row>
    <row r="465" spans="1:2" ht="16.5" customHeight="1">
      <c r="A465" s="317">
        <v>63301</v>
      </c>
      <c r="B465" s="317" t="s">
        <v>31</v>
      </c>
    </row>
    <row r="466" spans="1:2" ht="16.5" customHeight="1">
      <c r="A466" s="317">
        <v>63311</v>
      </c>
      <c r="B466" s="317" t="s">
        <v>31</v>
      </c>
    </row>
    <row r="467" spans="1:2" ht="16.5" customHeight="1">
      <c r="A467" s="317">
        <v>63501</v>
      </c>
      <c r="B467" s="317" t="s">
        <v>31</v>
      </c>
    </row>
    <row r="468" spans="1:2" ht="16.5" customHeight="1">
      <c r="A468" s="317">
        <v>63511</v>
      </c>
      <c r="B468" s="317" t="s">
        <v>31</v>
      </c>
    </row>
    <row r="469" spans="1:2" ht="16.5" customHeight="1">
      <c r="A469" s="317">
        <v>63531</v>
      </c>
      <c r="B469" s="317" t="s">
        <v>31</v>
      </c>
    </row>
    <row r="470" spans="1:2" ht="16.5" customHeight="1">
      <c r="A470" s="318">
        <v>63601</v>
      </c>
      <c r="B470" s="317" t="s">
        <v>31</v>
      </c>
    </row>
    <row r="471" spans="1:2" ht="16.5" customHeight="1">
      <c r="A471" s="317">
        <v>63650</v>
      </c>
      <c r="B471" s="317" t="s">
        <v>98</v>
      </c>
    </row>
    <row r="472" spans="1:2" ht="16.5" customHeight="1">
      <c r="A472" s="317">
        <v>63651</v>
      </c>
      <c r="B472" s="319" t="s">
        <v>98</v>
      </c>
    </row>
    <row r="473" spans="1:2" ht="16.5" customHeight="1">
      <c r="A473" s="317">
        <v>63711</v>
      </c>
      <c r="B473" s="317" t="s">
        <v>31</v>
      </c>
    </row>
    <row r="474" spans="1:2" ht="16.5" customHeight="1">
      <c r="A474" s="317">
        <v>63751</v>
      </c>
      <c r="B474" s="317" t="s">
        <v>98</v>
      </c>
    </row>
    <row r="475" spans="1:2" ht="16.5" customHeight="1">
      <c r="A475" s="318">
        <v>64001</v>
      </c>
      <c r="B475" s="322" t="s">
        <v>30</v>
      </c>
    </row>
    <row r="476" spans="1:2" ht="16.5" customHeight="1">
      <c r="A476" s="317">
        <v>64251</v>
      </c>
      <c r="B476" s="319" t="s">
        <v>98</v>
      </c>
    </row>
    <row r="477" spans="1:2" ht="16.5" customHeight="1">
      <c r="A477" s="318">
        <v>64502</v>
      </c>
      <c r="B477" s="321" t="s">
        <v>30</v>
      </c>
    </row>
    <row r="478" spans="1:2" ht="16.5" customHeight="1">
      <c r="A478" s="317">
        <v>65101</v>
      </c>
      <c r="B478" s="317" t="s">
        <v>98</v>
      </c>
    </row>
    <row r="479" spans="1:2" ht="16.5" customHeight="1">
      <c r="A479" s="317">
        <v>65201</v>
      </c>
      <c r="B479" s="317" t="s">
        <v>98</v>
      </c>
    </row>
    <row r="480" spans="1:2" ht="16.5" customHeight="1">
      <c r="A480" s="317">
        <v>66000</v>
      </c>
      <c r="B480" s="319" t="s">
        <v>125</v>
      </c>
    </row>
    <row r="481" spans="1:2" ht="16.5" customHeight="1">
      <c r="A481" s="317">
        <v>67001</v>
      </c>
      <c r="B481" s="317" t="s">
        <v>125</v>
      </c>
    </row>
    <row r="482" spans="1:2" ht="16.5" customHeight="1">
      <c r="A482" s="317">
        <v>67101</v>
      </c>
      <c r="B482" s="317" t="s">
        <v>125</v>
      </c>
    </row>
    <row r="483" spans="1:2" ht="16.5" customHeight="1">
      <c r="A483" s="317">
        <v>67300</v>
      </c>
      <c r="B483" s="319" t="s">
        <v>125</v>
      </c>
    </row>
    <row r="484" spans="1:2" ht="16.5" customHeight="1">
      <c r="A484" s="317">
        <v>67301</v>
      </c>
      <c r="B484" s="317" t="s">
        <v>125</v>
      </c>
    </row>
    <row r="485" spans="1:2" ht="16.5" customHeight="1">
      <c r="A485" s="318">
        <v>68100</v>
      </c>
      <c r="B485" s="317" t="s">
        <v>31</v>
      </c>
    </row>
    <row r="486" spans="1:2" ht="16.5" customHeight="1">
      <c r="A486" s="317">
        <v>68101</v>
      </c>
      <c r="B486" s="317" t="s">
        <v>31</v>
      </c>
    </row>
    <row r="487" spans="1:2" ht="16.5" customHeight="1">
      <c r="A487" s="317">
        <v>68200</v>
      </c>
      <c r="B487" s="317" t="s">
        <v>30</v>
      </c>
    </row>
    <row r="488" spans="1:2" ht="16.5" customHeight="1">
      <c r="A488" s="317">
        <v>69001</v>
      </c>
      <c r="B488" s="317" t="s">
        <v>326</v>
      </c>
    </row>
    <row r="489" spans="1:2" ht="16.5" customHeight="1">
      <c r="A489" s="317">
        <v>69101</v>
      </c>
      <c r="B489" s="317" t="s">
        <v>31</v>
      </c>
    </row>
    <row r="490" spans="1:2" ht="16.5" customHeight="1">
      <c r="A490" s="317">
        <v>69201</v>
      </c>
      <c r="B490" s="317" t="s">
        <v>31</v>
      </c>
    </row>
    <row r="491" spans="1:2" ht="16.5" customHeight="1">
      <c r="A491" s="318">
        <v>90101</v>
      </c>
      <c r="B491" s="322" t="s">
        <v>125</v>
      </c>
    </row>
    <row r="492" spans="1:2" ht="16.5" customHeight="1">
      <c r="A492" s="318">
        <v>90102</v>
      </c>
      <c r="B492" s="322" t="s">
        <v>125</v>
      </c>
    </row>
    <row r="493" spans="1:2" ht="16.5" customHeight="1">
      <c r="A493" s="317">
        <v>90103</v>
      </c>
      <c r="B493" s="317" t="s">
        <v>125</v>
      </c>
    </row>
    <row r="494" spans="1:2" ht="16.5" customHeight="1">
      <c r="A494" s="317">
        <v>90115</v>
      </c>
      <c r="B494" s="319" t="s">
        <v>98</v>
      </c>
    </row>
    <row r="495" spans="1:2" ht="16.5" customHeight="1">
      <c r="A495" s="317">
        <v>90121</v>
      </c>
      <c r="B495" s="317" t="s">
        <v>125</v>
      </c>
    </row>
    <row r="496" spans="1:2" ht="16.5" customHeight="1">
      <c r="A496" s="317">
        <v>90142</v>
      </c>
      <c r="B496" s="317" t="s">
        <v>125</v>
      </c>
    </row>
    <row r="497" spans="1:2" ht="16.5" customHeight="1">
      <c r="A497" s="317">
        <v>90401</v>
      </c>
      <c r="B497" s="317" t="s">
        <v>129</v>
      </c>
    </row>
    <row r="498" spans="1:2" ht="16.5" customHeight="1">
      <c r="A498" s="317">
        <v>90402</v>
      </c>
      <c r="B498" s="317" t="s">
        <v>129</v>
      </c>
    </row>
    <row r="499" spans="1:2" ht="16.5" customHeight="1">
      <c r="A499" s="317">
        <v>90403</v>
      </c>
      <c r="B499" s="317" t="s">
        <v>129</v>
      </c>
    </row>
    <row r="500" spans="1:2" ht="16.5" customHeight="1">
      <c r="A500" s="317">
        <v>90451</v>
      </c>
      <c r="B500" s="319" t="s">
        <v>130</v>
      </c>
    </row>
    <row r="501" spans="1:2" ht="16.5" customHeight="1">
      <c r="A501" s="317">
        <v>90452</v>
      </c>
      <c r="B501" s="319" t="s">
        <v>130</v>
      </c>
    </row>
    <row r="502" spans="1:2" ht="16.5" customHeight="1">
      <c r="A502" s="317">
        <v>90454</v>
      </c>
      <c r="B502" s="319" t="s">
        <v>130</v>
      </c>
    </row>
    <row r="503" spans="1:2" ht="16.5" customHeight="1">
      <c r="A503" s="317">
        <v>90455</v>
      </c>
      <c r="B503" s="319" t="s">
        <v>130</v>
      </c>
    </row>
    <row r="504" spans="1:2" ht="16.5" customHeight="1">
      <c r="A504" s="317">
        <v>90457</v>
      </c>
      <c r="B504" s="319" t="s">
        <v>130</v>
      </c>
    </row>
    <row r="505" spans="1:2" ht="16.5" customHeight="1">
      <c r="A505" s="317">
        <v>90459</v>
      </c>
      <c r="B505" s="319" t="s">
        <v>130</v>
      </c>
    </row>
    <row r="506" spans="1:2" ht="16.5" customHeight="1">
      <c r="A506" s="317">
        <v>90460</v>
      </c>
      <c r="B506" s="319" t="s">
        <v>130</v>
      </c>
    </row>
    <row r="507" spans="1:2" ht="16.5" customHeight="1">
      <c r="A507" s="317">
        <v>90462</v>
      </c>
      <c r="B507" s="319" t="s">
        <v>130</v>
      </c>
    </row>
    <row r="508" spans="1:2" ht="16.5" customHeight="1">
      <c r="A508" s="317">
        <v>90464</v>
      </c>
      <c r="B508" s="319" t="s">
        <v>130</v>
      </c>
    </row>
    <row r="509" spans="1:2" ht="16.5" customHeight="1">
      <c r="A509" s="317">
        <v>90465</v>
      </c>
      <c r="B509" s="319" t="s">
        <v>130</v>
      </c>
    </row>
    <row r="510" spans="1:2" ht="16.5" customHeight="1">
      <c r="A510" s="317">
        <v>90467</v>
      </c>
      <c r="B510" s="319" t="s">
        <v>130</v>
      </c>
    </row>
    <row r="511" spans="1:2" ht="16.5" customHeight="1">
      <c r="A511" s="317">
        <v>90468</v>
      </c>
      <c r="B511" s="319" t="s">
        <v>130</v>
      </c>
    </row>
    <row r="512" spans="1:2" ht="16.5" customHeight="1">
      <c r="A512" s="317">
        <v>90469</v>
      </c>
      <c r="B512" s="319" t="s">
        <v>130</v>
      </c>
    </row>
    <row r="513" spans="1:2" ht="16.5" customHeight="1">
      <c r="A513" s="317">
        <v>90471</v>
      </c>
      <c r="B513" s="319" t="s">
        <v>130</v>
      </c>
    </row>
    <row r="514" spans="1:2" ht="16.5" customHeight="1">
      <c r="A514" s="317">
        <v>90472</v>
      </c>
      <c r="B514" s="319" t="s">
        <v>130</v>
      </c>
    </row>
    <row r="515" spans="1:2" ht="16.5" customHeight="1">
      <c r="A515" s="317">
        <v>90474</v>
      </c>
      <c r="B515" s="319" t="s">
        <v>130</v>
      </c>
    </row>
    <row r="516" spans="1:2" ht="16.5" customHeight="1">
      <c r="A516" s="317">
        <v>90475</v>
      </c>
      <c r="B516" s="319" t="s">
        <v>130</v>
      </c>
    </row>
    <row r="517" spans="1:2" ht="16.5" customHeight="1">
      <c r="A517" s="317">
        <v>90476</v>
      </c>
      <c r="B517" s="319" t="s">
        <v>130</v>
      </c>
    </row>
    <row r="518" spans="1:2" ht="16.5" customHeight="1">
      <c r="A518" s="317">
        <v>90477</v>
      </c>
      <c r="B518" s="319" t="s">
        <v>130</v>
      </c>
    </row>
    <row r="519" spans="1:2" ht="16.5" customHeight="1">
      <c r="A519" s="317">
        <v>90478</v>
      </c>
      <c r="B519" s="319" t="s">
        <v>130</v>
      </c>
    </row>
    <row r="520" spans="1:2" ht="16.5" customHeight="1">
      <c r="A520" s="317">
        <v>90479</v>
      </c>
      <c r="B520" s="319" t="s">
        <v>130</v>
      </c>
    </row>
    <row r="521" spans="1:2" ht="16.5" customHeight="1">
      <c r="A521" s="317">
        <v>90480</v>
      </c>
      <c r="B521" s="317" t="s">
        <v>130</v>
      </c>
    </row>
    <row r="522" spans="1:2" ht="16.5" customHeight="1">
      <c r="A522" s="317">
        <v>90483</v>
      </c>
      <c r="B522" s="317" t="s">
        <v>130</v>
      </c>
    </row>
    <row r="523" spans="1:2" ht="16.5" customHeight="1">
      <c r="A523" s="317">
        <v>90484</v>
      </c>
      <c r="B523" s="317" t="s">
        <v>130</v>
      </c>
    </row>
    <row r="524" spans="1:2" ht="16.5" customHeight="1">
      <c r="A524" s="317">
        <v>90601</v>
      </c>
      <c r="B524" s="317" t="s">
        <v>125</v>
      </c>
    </row>
    <row r="525" spans="1:2" ht="16.5" customHeight="1">
      <c r="A525" s="317">
        <v>90651</v>
      </c>
      <c r="B525" s="317" t="s">
        <v>125</v>
      </c>
    </row>
    <row r="526" spans="1:2" ht="16.5" customHeight="1">
      <c r="A526" s="317">
        <v>90661</v>
      </c>
      <c r="B526" s="317" t="s">
        <v>125</v>
      </c>
    </row>
    <row r="527" spans="1:2" ht="16.5" customHeight="1">
      <c r="A527" s="317">
        <v>90671</v>
      </c>
      <c r="B527" s="317" t="s">
        <v>125</v>
      </c>
    </row>
    <row r="528" spans="1:2" ht="16.5" customHeight="1">
      <c r="A528" s="317">
        <v>90681</v>
      </c>
      <c r="B528" s="317" t="s">
        <v>125</v>
      </c>
    </row>
    <row r="529" spans="1:2" ht="16.5" customHeight="1">
      <c r="A529" s="317">
        <v>90682</v>
      </c>
      <c r="B529" s="317" t="s">
        <v>125</v>
      </c>
    </row>
    <row r="530" spans="1:2" ht="16.5" customHeight="1">
      <c r="A530" s="317">
        <v>90683</v>
      </c>
      <c r="B530" s="317" t="s">
        <v>125</v>
      </c>
    </row>
    <row r="531" spans="1:2" ht="16.5" customHeight="1">
      <c r="A531" s="317">
        <v>90684</v>
      </c>
      <c r="B531" s="317" t="s">
        <v>125</v>
      </c>
    </row>
    <row r="532" spans="1:2" ht="16.5" customHeight="1">
      <c r="A532" s="317">
        <v>90685</v>
      </c>
      <c r="B532" s="317" t="s">
        <v>125</v>
      </c>
    </row>
    <row r="533" spans="1:2" ht="16.5" customHeight="1">
      <c r="A533" s="317">
        <v>90686</v>
      </c>
      <c r="B533" s="317" t="s">
        <v>125</v>
      </c>
    </row>
    <row r="534" spans="1:2" ht="16.5" customHeight="1">
      <c r="A534" s="317">
        <v>90688</v>
      </c>
      <c r="B534" s="317" t="s">
        <v>125</v>
      </c>
    </row>
    <row r="535" spans="1:2" ht="16.5" customHeight="1">
      <c r="A535" s="317">
        <v>90691</v>
      </c>
      <c r="B535" s="317" t="s">
        <v>125</v>
      </c>
    </row>
    <row r="536" spans="1:2" ht="16.5" customHeight="1">
      <c r="A536" s="318">
        <v>90692</v>
      </c>
      <c r="B536" s="319" t="s">
        <v>125</v>
      </c>
    </row>
    <row r="537" spans="1:2" ht="16.5" customHeight="1">
      <c r="A537" s="318">
        <v>91111</v>
      </c>
      <c r="B537" s="319" t="s">
        <v>98</v>
      </c>
    </row>
    <row r="538" spans="1:2" ht="16.5" customHeight="1">
      <c r="A538" s="318">
        <v>91112</v>
      </c>
      <c r="B538" s="319" t="s">
        <v>98</v>
      </c>
    </row>
    <row r="539" spans="1:2" ht="16.5" customHeight="1">
      <c r="A539" s="317">
        <v>91113</v>
      </c>
      <c r="B539" s="317" t="s">
        <v>98</v>
      </c>
    </row>
    <row r="540" spans="1:2" ht="16.5" customHeight="1">
      <c r="A540" s="318">
        <v>91114</v>
      </c>
      <c r="B540" s="319" t="s">
        <v>130</v>
      </c>
    </row>
    <row r="541" spans="1:2" ht="16.5" customHeight="1">
      <c r="A541" s="318">
        <v>91115</v>
      </c>
      <c r="B541" s="319" t="s">
        <v>98</v>
      </c>
    </row>
    <row r="542" spans="1:2" ht="16.5" customHeight="1">
      <c r="A542" s="318">
        <v>91116</v>
      </c>
      <c r="B542" s="319" t="s">
        <v>98</v>
      </c>
    </row>
    <row r="543" spans="1:2" ht="16.5" customHeight="1">
      <c r="A543" s="318">
        <v>91117</v>
      </c>
      <c r="B543" s="319" t="s">
        <v>98</v>
      </c>
    </row>
    <row r="544" spans="1:2" ht="16.5" customHeight="1">
      <c r="A544" s="318">
        <v>91121</v>
      </c>
      <c r="B544" s="319" t="s">
        <v>98</v>
      </c>
    </row>
    <row r="545" spans="1:2" ht="16.5" customHeight="1">
      <c r="A545" s="317">
        <v>92001</v>
      </c>
      <c r="B545" s="317" t="s">
        <v>30</v>
      </c>
    </row>
    <row r="546" spans="1:2" ht="16.5" customHeight="1">
      <c r="A546" s="317">
        <v>92002</v>
      </c>
      <c r="B546" s="317" t="s">
        <v>98</v>
      </c>
    </row>
    <row r="547" spans="1:2" ht="16.5" customHeight="1">
      <c r="A547" s="317">
        <v>92003</v>
      </c>
      <c r="B547" s="317" t="s">
        <v>30</v>
      </c>
    </row>
    <row r="548" spans="1:2" ht="16.5" customHeight="1">
      <c r="A548" s="317">
        <v>92004</v>
      </c>
      <c r="B548" s="317" t="s">
        <v>129</v>
      </c>
    </row>
    <row r="549" spans="1:2" ht="16.5" customHeight="1">
      <c r="A549" s="317">
        <v>92005</v>
      </c>
      <c r="B549" s="317" t="s">
        <v>129</v>
      </c>
    </row>
    <row r="550" spans="1:2" ht="16.5" customHeight="1">
      <c r="A550" s="317">
        <v>92006</v>
      </c>
      <c r="B550" s="317" t="s">
        <v>98</v>
      </c>
    </row>
    <row r="551" spans="1:2" ht="16.5" customHeight="1">
      <c r="A551" s="318">
        <v>92007</v>
      </c>
      <c r="B551" s="319" t="s">
        <v>129</v>
      </c>
    </row>
    <row r="552" spans="1:2" ht="16.5" customHeight="1">
      <c r="A552" s="318">
        <v>92008</v>
      </c>
      <c r="B552" s="319" t="s">
        <v>129</v>
      </c>
    </row>
    <row r="553" spans="1:2" ht="16.5" customHeight="1">
      <c r="A553" s="317">
        <v>92602</v>
      </c>
      <c r="B553" s="319" t="s">
        <v>30</v>
      </c>
    </row>
    <row r="554" spans="1:2" ht="16.5" customHeight="1">
      <c r="A554" s="317">
        <v>92604</v>
      </c>
      <c r="B554" s="319" t="s">
        <v>125</v>
      </c>
    </row>
    <row r="555" spans="1:2" ht="16.5" customHeight="1">
      <c r="A555" s="317">
        <v>92606</v>
      </c>
      <c r="B555" s="319" t="s">
        <v>30</v>
      </c>
    </row>
    <row r="556" spans="1:2" ht="16.5" customHeight="1">
      <c r="A556" s="317">
        <v>92607</v>
      </c>
      <c r="B556" s="319" t="s">
        <v>30</v>
      </c>
    </row>
    <row r="557" spans="1:2" ht="16.5" customHeight="1">
      <c r="A557" s="317">
        <v>92608</v>
      </c>
      <c r="B557" s="319" t="s">
        <v>30</v>
      </c>
    </row>
    <row r="558" spans="1:2" ht="16.5" customHeight="1">
      <c r="A558" s="317">
        <v>92609</v>
      </c>
      <c r="B558" s="319" t="s">
        <v>30</v>
      </c>
    </row>
    <row r="559" spans="1:2" ht="16.5" customHeight="1">
      <c r="A559" s="317">
        <v>92610</v>
      </c>
      <c r="B559" s="319" t="s">
        <v>30</v>
      </c>
    </row>
    <row r="560" spans="1:2" ht="16.5" customHeight="1">
      <c r="A560" s="317">
        <v>93019</v>
      </c>
      <c r="B560" s="319" t="s">
        <v>30</v>
      </c>
    </row>
    <row r="561" spans="1:2" ht="16.5" customHeight="1">
      <c r="A561" s="318">
        <v>94001</v>
      </c>
      <c r="B561" s="319" t="s">
        <v>98</v>
      </c>
    </row>
    <row r="562" spans="1:2" ht="16.5" customHeight="1">
      <c r="A562" s="317">
        <v>94002</v>
      </c>
      <c r="B562" s="319" t="s">
        <v>98</v>
      </c>
    </row>
    <row r="563" spans="1:2" ht="16.5" customHeight="1">
      <c r="A563" s="317">
        <v>94003</v>
      </c>
      <c r="B563" s="319" t="s">
        <v>98</v>
      </c>
    </row>
    <row r="564" spans="1:2" ht="16.5" customHeight="1">
      <c r="A564" s="317">
        <v>94004</v>
      </c>
      <c r="B564" s="319" t="s">
        <v>98</v>
      </c>
    </row>
    <row r="565" spans="1:2" ht="16.5" customHeight="1">
      <c r="A565" s="317">
        <v>94005</v>
      </c>
      <c r="B565" s="319" t="s">
        <v>98</v>
      </c>
    </row>
    <row r="566" spans="1:2" ht="16.5" customHeight="1">
      <c r="A566" s="317">
        <v>94006</v>
      </c>
      <c r="B566" s="319" t="s">
        <v>98</v>
      </c>
    </row>
    <row r="567" spans="1:2" ht="16.5" customHeight="1">
      <c r="A567" s="318" t="s">
        <v>327</v>
      </c>
      <c r="B567" s="322" t="s">
        <v>30</v>
      </c>
    </row>
    <row r="568" spans="1:2" ht="16.5" customHeight="1">
      <c r="A568" s="318" t="s">
        <v>328</v>
      </c>
      <c r="B568" s="322" t="s">
        <v>30</v>
      </c>
    </row>
    <row r="569" spans="1:2" ht="16.5" customHeight="1">
      <c r="A569" s="318" t="s">
        <v>329</v>
      </c>
      <c r="B569" s="322" t="s">
        <v>30</v>
      </c>
    </row>
    <row r="570" spans="1:2" ht="16.5" customHeight="1">
      <c r="A570" s="318" t="s">
        <v>330</v>
      </c>
      <c r="B570" s="322" t="s">
        <v>125</v>
      </c>
    </row>
    <row r="571" spans="1:2" ht="16.5" customHeight="1">
      <c r="A571" s="318" t="s">
        <v>331</v>
      </c>
      <c r="B571" s="322" t="s">
        <v>30</v>
      </c>
    </row>
    <row r="572" spans="1:2" ht="16.5" customHeight="1">
      <c r="A572" s="318" t="s">
        <v>332</v>
      </c>
      <c r="B572" s="322" t="s">
        <v>128</v>
      </c>
    </row>
    <row r="573" spans="1:2" ht="16.5" customHeight="1">
      <c r="A573" s="318" t="s">
        <v>333</v>
      </c>
      <c r="B573" s="322" t="s">
        <v>30</v>
      </c>
    </row>
    <row r="574" spans="1:2" ht="16.5" customHeight="1">
      <c r="A574" s="318" t="s">
        <v>334</v>
      </c>
      <c r="B574" s="322" t="s">
        <v>30</v>
      </c>
    </row>
    <row r="575" spans="1:2" ht="16.5" customHeight="1">
      <c r="A575" s="318" t="s">
        <v>335</v>
      </c>
      <c r="B575" s="317" t="s">
        <v>31</v>
      </c>
    </row>
    <row r="576" spans="1:2" ht="16.5" customHeight="1">
      <c r="A576" s="318" t="s">
        <v>336</v>
      </c>
      <c r="B576" s="322" t="s">
        <v>30</v>
      </c>
    </row>
    <row r="577" spans="1:2" ht="16.5" customHeight="1">
      <c r="A577" s="318" t="s">
        <v>337</v>
      </c>
      <c r="B577" s="317" t="s">
        <v>31</v>
      </c>
    </row>
    <row r="578" spans="1:2" ht="16.5" customHeight="1">
      <c r="A578" s="318" t="s">
        <v>338</v>
      </c>
      <c r="B578" s="322" t="s">
        <v>154</v>
      </c>
    </row>
    <row r="579" spans="1:2" ht="16.5" customHeight="1">
      <c r="A579" s="318" t="s">
        <v>339</v>
      </c>
      <c r="B579" s="322" t="s">
        <v>30</v>
      </c>
    </row>
    <row r="580" spans="1:2" ht="16.5" customHeight="1">
      <c r="A580" s="318" t="s">
        <v>340</v>
      </c>
      <c r="B580" s="317" t="s">
        <v>31</v>
      </c>
    </row>
    <row r="581" spans="1:2" ht="16.5" customHeight="1">
      <c r="A581" s="318" t="s">
        <v>341</v>
      </c>
      <c r="B581" s="317" t="s">
        <v>31</v>
      </c>
    </row>
    <row r="582" spans="1:2" ht="16.5" customHeight="1">
      <c r="A582" s="317" t="s">
        <v>342</v>
      </c>
      <c r="B582" s="317" t="s">
        <v>31</v>
      </c>
    </row>
    <row r="583" spans="1:2" ht="16.5" customHeight="1">
      <c r="A583" s="318" t="s">
        <v>343</v>
      </c>
      <c r="B583" s="322" t="s">
        <v>128</v>
      </c>
    </row>
    <row r="584" spans="1:2" ht="16.5" customHeight="1">
      <c r="A584" s="318" t="s">
        <v>344</v>
      </c>
      <c r="B584" s="322" t="s">
        <v>125</v>
      </c>
    </row>
    <row r="585" spans="1:2" ht="16.5" customHeight="1">
      <c r="A585" s="318" t="s">
        <v>345</v>
      </c>
      <c r="B585" s="322" t="s">
        <v>30</v>
      </c>
    </row>
    <row r="586" spans="1:2" ht="16.5" customHeight="1">
      <c r="A586" s="318" t="s">
        <v>346</v>
      </c>
      <c r="B586" s="322" t="s">
        <v>30</v>
      </c>
    </row>
    <row r="587" spans="1:2" ht="16.5" customHeight="1">
      <c r="A587" s="318" t="s">
        <v>347</v>
      </c>
      <c r="B587" s="322" t="s">
        <v>30</v>
      </c>
    </row>
    <row r="588" spans="1:2" ht="16.5" customHeight="1">
      <c r="A588" s="318" t="s">
        <v>348</v>
      </c>
      <c r="B588" s="322" t="s">
        <v>30</v>
      </c>
    </row>
    <row r="589" spans="1:2" ht="16.5" customHeight="1">
      <c r="A589" s="318" t="s">
        <v>349</v>
      </c>
      <c r="B589" s="322" t="s">
        <v>125</v>
      </c>
    </row>
    <row r="590" spans="1:2" ht="16.5" customHeight="1">
      <c r="A590" s="317" t="s">
        <v>350</v>
      </c>
      <c r="B590" s="317" t="s">
        <v>98</v>
      </c>
    </row>
    <row r="591" spans="1:2" ht="16.5" customHeight="1">
      <c r="A591" s="317">
        <v>233911</v>
      </c>
      <c r="B591" s="317" t="s">
        <v>125</v>
      </c>
    </row>
    <row r="592" spans="1:2" ht="16.5" customHeight="1">
      <c r="A592" s="317">
        <v>109972</v>
      </c>
      <c r="B592" s="317" t="s">
        <v>128</v>
      </c>
    </row>
    <row r="593" spans="1:2" ht="16.5" customHeight="1">
      <c r="A593" s="317">
        <v>119962</v>
      </c>
      <c r="B593" s="317" t="s">
        <v>128</v>
      </c>
    </row>
    <row r="594" spans="1:2" ht="16.5" customHeight="1">
      <c r="A594" s="317">
        <v>119982</v>
      </c>
      <c r="B594" s="317" t="s">
        <v>31</v>
      </c>
    </row>
    <row r="595" spans="1:2" ht="16.5" customHeight="1">
      <c r="A595" s="318">
        <v>203002</v>
      </c>
      <c r="B595" s="317" t="s">
        <v>98</v>
      </c>
    </row>
    <row r="596" spans="1:2" ht="16.5" customHeight="1">
      <c r="A596" s="318">
        <v>209960</v>
      </c>
      <c r="B596" s="317" t="s">
        <v>98</v>
      </c>
    </row>
    <row r="597" spans="1:2" ht="16.5" customHeight="1">
      <c r="A597" s="317">
        <v>209990</v>
      </c>
      <c r="B597" s="317" t="s">
        <v>98</v>
      </c>
    </row>
    <row r="598" spans="1:2" ht="16.5" customHeight="1">
      <c r="A598" s="317">
        <v>219913</v>
      </c>
      <c r="B598" s="317" t="s">
        <v>128</v>
      </c>
    </row>
    <row r="599" spans="1:2" ht="16.5" customHeight="1">
      <c r="A599" s="317">
        <v>230964</v>
      </c>
      <c r="B599" s="317" t="s">
        <v>98</v>
      </c>
    </row>
    <row r="600" spans="1:2" ht="16.5" customHeight="1">
      <c r="A600" s="317">
        <v>231903</v>
      </c>
      <c r="B600" s="317" t="s">
        <v>128</v>
      </c>
    </row>
    <row r="601" spans="1:2" ht="16.5" customHeight="1">
      <c r="A601" s="317">
        <v>231937</v>
      </c>
      <c r="B601" s="317" t="s">
        <v>128</v>
      </c>
    </row>
    <row r="602" spans="1:2" ht="16.5" customHeight="1">
      <c r="A602" s="317">
        <v>231939</v>
      </c>
      <c r="B602" s="317" t="s">
        <v>128</v>
      </c>
    </row>
    <row r="603" spans="1:2" ht="16.5" customHeight="1">
      <c r="A603" s="317">
        <v>231941</v>
      </c>
      <c r="B603" s="317" t="s">
        <v>98</v>
      </c>
    </row>
    <row r="604" spans="1:2" ht="16.5" customHeight="1">
      <c r="A604" s="317">
        <v>231944</v>
      </c>
      <c r="B604" s="317" t="s">
        <v>128</v>
      </c>
    </row>
    <row r="605" spans="1:2" ht="16.5" customHeight="1">
      <c r="A605" s="317">
        <v>231946</v>
      </c>
      <c r="B605" s="317" t="s">
        <v>128</v>
      </c>
    </row>
    <row r="606" spans="1:2" ht="16.5" customHeight="1">
      <c r="A606" s="317">
        <v>231958</v>
      </c>
      <c r="B606" s="317" t="s">
        <v>98</v>
      </c>
    </row>
    <row r="607" spans="1:2" ht="16.5" customHeight="1">
      <c r="A607" s="317">
        <v>231960</v>
      </c>
      <c r="B607" s="317" t="s">
        <v>98</v>
      </c>
    </row>
    <row r="608" spans="1:2" ht="16.5" customHeight="1">
      <c r="A608" s="317">
        <v>232902</v>
      </c>
      <c r="B608" s="317" t="s">
        <v>125</v>
      </c>
    </row>
    <row r="609" spans="1:2" ht="16.5" customHeight="1">
      <c r="A609" s="317">
        <v>232916</v>
      </c>
      <c r="B609" s="317" t="s">
        <v>125</v>
      </c>
    </row>
    <row r="610" spans="1:2" ht="16.5" customHeight="1">
      <c r="A610" s="317">
        <v>233915</v>
      </c>
      <c r="B610" s="317" t="s">
        <v>128</v>
      </c>
    </row>
    <row r="611" spans="1:2" ht="16.5" customHeight="1">
      <c r="A611" s="317">
        <v>232927</v>
      </c>
      <c r="B611" s="317" t="s">
        <v>98</v>
      </c>
    </row>
    <row r="612" spans="1:2" ht="16.5" customHeight="1">
      <c r="A612" s="318" t="s">
        <v>351</v>
      </c>
      <c r="B612" s="317" t="s">
        <v>98</v>
      </c>
    </row>
    <row r="613" spans="1:2" ht="16.5" customHeight="1">
      <c r="A613" s="317" t="s">
        <v>352</v>
      </c>
      <c r="B613" s="317" t="s">
        <v>98</v>
      </c>
    </row>
    <row r="614" spans="1:2" ht="16.5" customHeight="1">
      <c r="A614" s="317" t="s">
        <v>353</v>
      </c>
      <c r="B614" s="317" t="s">
        <v>98</v>
      </c>
    </row>
    <row r="615" spans="1:2" ht="16.5" customHeight="1">
      <c r="A615" s="317">
        <v>233004</v>
      </c>
      <c r="B615" s="317" t="s">
        <v>125</v>
      </c>
    </row>
    <row r="616" spans="1:2" ht="16.5" customHeight="1">
      <c r="A616" s="317" t="s">
        <v>354</v>
      </c>
      <c r="B616" s="317" t="s">
        <v>98</v>
      </c>
    </row>
    <row r="617" spans="1:2" ht="16.5" customHeight="1">
      <c r="A617" s="317" t="s">
        <v>355</v>
      </c>
      <c r="B617" s="317" t="s">
        <v>129</v>
      </c>
    </row>
    <row r="618" spans="1:2" ht="16.5" customHeight="1">
      <c r="A618" s="317" t="s">
        <v>356</v>
      </c>
      <c r="B618" s="317" t="s">
        <v>98</v>
      </c>
    </row>
    <row r="619" spans="1:2" ht="16.5" customHeight="1">
      <c r="A619" s="317" t="s">
        <v>357</v>
      </c>
      <c r="B619" s="317" t="s">
        <v>98</v>
      </c>
    </row>
    <row r="620" spans="1:2" ht="16.5" customHeight="1">
      <c r="A620" s="317" t="s">
        <v>358</v>
      </c>
      <c r="B620" s="317" t="s">
        <v>129</v>
      </c>
    </row>
    <row r="621" spans="1:2" ht="16.5" customHeight="1">
      <c r="A621" s="317" t="s">
        <v>359</v>
      </c>
      <c r="B621" s="317" t="s">
        <v>98</v>
      </c>
    </row>
    <row r="622" spans="1:2" ht="16.5" customHeight="1">
      <c r="A622" s="317" t="s">
        <v>360</v>
      </c>
      <c r="B622" s="317" t="s">
        <v>98</v>
      </c>
    </row>
    <row r="623" spans="1:2" ht="16.5" customHeight="1">
      <c r="A623" s="317" t="s">
        <v>361</v>
      </c>
      <c r="B623" s="317" t="s">
        <v>98</v>
      </c>
    </row>
    <row r="624" spans="1:2" ht="16.5" customHeight="1">
      <c r="A624" s="317" t="s">
        <v>362</v>
      </c>
      <c r="B624" s="317" t="s">
        <v>125</v>
      </c>
    </row>
    <row r="625" spans="1:2" ht="16.5" customHeight="1">
      <c r="A625" s="317" t="s">
        <v>363</v>
      </c>
      <c r="B625" s="317" t="s">
        <v>125</v>
      </c>
    </row>
    <row r="626" spans="1:2" ht="16.5" customHeight="1">
      <c r="A626" s="317" t="s">
        <v>364</v>
      </c>
      <c r="B626" s="317" t="s">
        <v>129</v>
      </c>
    </row>
    <row r="627" spans="1:2" ht="16.5" customHeight="1">
      <c r="A627" s="317" t="s">
        <v>365</v>
      </c>
      <c r="B627" s="317" t="s">
        <v>125</v>
      </c>
    </row>
    <row r="628" spans="1:2" ht="16.5" customHeight="1">
      <c r="A628" s="317" t="s">
        <v>366</v>
      </c>
      <c r="B628" s="317" t="s">
        <v>130</v>
      </c>
    </row>
    <row r="629" spans="1:2" ht="16.5" customHeight="1">
      <c r="A629" s="317" t="s">
        <v>367</v>
      </c>
      <c r="B629" s="317" t="s">
        <v>130</v>
      </c>
    </row>
    <row r="630" spans="1:2" ht="16.5" customHeight="1">
      <c r="A630" s="317" t="s">
        <v>368</v>
      </c>
      <c r="B630" s="317" t="s">
        <v>98</v>
      </c>
    </row>
    <row r="631" spans="1:2" ht="16.5" customHeight="1">
      <c r="A631" s="317" t="s">
        <v>369</v>
      </c>
      <c r="B631" s="317" t="s">
        <v>98</v>
      </c>
    </row>
    <row r="632" spans="1:2" ht="16.5" customHeight="1">
      <c r="A632" s="317" t="s">
        <v>370</v>
      </c>
      <c r="B632" s="317" t="s">
        <v>125</v>
      </c>
    </row>
    <row r="633" spans="1:2" ht="16.5" customHeight="1">
      <c r="A633" s="317" t="s">
        <v>371</v>
      </c>
      <c r="B633" s="317" t="s">
        <v>30</v>
      </c>
    </row>
    <row r="634" spans="1:2" ht="16.5" customHeight="1">
      <c r="A634" s="317" t="s">
        <v>372</v>
      </c>
      <c r="B634" s="317" t="s">
        <v>30</v>
      </c>
    </row>
    <row r="635" spans="1:2" ht="16.5" customHeight="1">
      <c r="A635" s="317" t="s">
        <v>373</v>
      </c>
      <c r="B635" s="317" t="s">
        <v>125</v>
      </c>
    </row>
    <row r="636" spans="1:2" ht="16.5" customHeight="1">
      <c r="A636" s="317" t="s">
        <v>374</v>
      </c>
      <c r="B636" s="317" t="s">
        <v>30</v>
      </c>
    </row>
    <row r="637" spans="1:2" ht="16.5" customHeight="1">
      <c r="A637" s="317" t="s">
        <v>375</v>
      </c>
      <c r="B637" s="317" t="s">
        <v>30</v>
      </c>
    </row>
    <row r="638" spans="1:2" ht="16.5" customHeight="1">
      <c r="A638" s="317" t="s">
        <v>376</v>
      </c>
      <c r="B638" s="317" t="s">
        <v>30</v>
      </c>
    </row>
    <row r="639" spans="1:2" ht="16.5" customHeight="1">
      <c r="A639" s="317" t="s">
        <v>377</v>
      </c>
      <c r="B639" s="317" t="s">
        <v>30</v>
      </c>
    </row>
    <row r="640" spans="1:2" ht="16.5" customHeight="1">
      <c r="A640" s="317" t="s">
        <v>378</v>
      </c>
      <c r="B640" s="317" t="s">
        <v>30</v>
      </c>
    </row>
    <row r="641" spans="1:2" ht="16.5" customHeight="1">
      <c r="A641" s="317" t="s">
        <v>379</v>
      </c>
      <c r="B641" s="317" t="s">
        <v>130</v>
      </c>
    </row>
    <row r="642" spans="1:2" ht="16.5" customHeight="1">
      <c r="A642" s="317" t="s">
        <v>380</v>
      </c>
      <c r="B642" s="317" t="s">
        <v>125</v>
      </c>
    </row>
    <row r="643" spans="1:2" ht="16.5" customHeight="1">
      <c r="A643" s="317" t="s">
        <v>123</v>
      </c>
      <c r="B643" s="317" t="s">
        <v>125</v>
      </c>
    </row>
    <row r="644" spans="1:2" ht="16.5" customHeight="1">
      <c r="A644" s="317" t="s">
        <v>381</v>
      </c>
      <c r="B644" s="317" t="s">
        <v>30</v>
      </c>
    </row>
    <row r="645" spans="1:2" ht="16.5" customHeight="1">
      <c r="A645" s="317" t="s">
        <v>382</v>
      </c>
      <c r="B645" s="317" t="s">
        <v>30</v>
      </c>
    </row>
    <row r="646" spans="1:2" ht="16.5" customHeight="1">
      <c r="A646" s="317" t="s">
        <v>383</v>
      </c>
      <c r="B646" s="317" t="s">
        <v>30</v>
      </c>
    </row>
    <row r="647" spans="1:2" ht="16.5" customHeight="1">
      <c r="A647" s="317" t="s">
        <v>384</v>
      </c>
      <c r="B647" s="317" t="s">
        <v>30</v>
      </c>
    </row>
    <row r="648" spans="1:2" ht="16.5" customHeight="1">
      <c r="A648" s="317" t="s">
        <v>385</v>
      </c>
      <c r="B648" s="317" t="s">
        <v>30</v>
      </c>
    </row>
    <row r="649" spans="1:2" ht="16.5" customHeight="1">
      <c r="A649" s="317" t="s">
        <v>386</v>
      </c>
      <c r="B649" s="317" t="s">
        <v>30</v>
      </c>
    </row>
    <row r="650" spans="1:2" ht="16.5" customHeight="1">
      <c r="A650" s="317" t="s">
        <v>387</v>
      </c>
      <c r="B650" s="317" t="s">
        <v>130</v>
      </c>
    </row>
    <row r="651" spans="1:2" ht="16.5" customHeight="1">
      <c r="A651" s="317" t="s">
        <v>388</v>
      </c>
      <c r="B651" s="317" t="s">
        <v>125</v>
      </c>
    </row>
    <row r="652" spans="1:2" ht="16.5" customHeight="1">
      <c r="A652" s="317" t="s">
        <v>389</v>
      </c>
      <c r="B652" s="317" t="s">
        <v>125</v>
      </c>
    </row>
    <row r="653" spans="1:2" ht="16.5" customHeight="1">
      <c r="A653" s="317" t="s">
        <v>390</v>
      </c>
      <c r="B653" s="317" t="s">
        <v>30</v>
      </c>
    </row>
    <row r="654" spans="1:2" ht="16.5" customHeight="1">
      <c r="A654" s="317" t="s">
        <v>391</v>
      </c>
      <c r="B654" s="317" t="s">
        <v>30</v>
      </c>
    </row>
    <row r="655" spans="1:2" ht="16.5" customHeight="1">
      <c r="A655" s="317" t="s">
        <v>392</v>
      </c>
      <c r="B655" s="317" t="s">
        <v>30</v>
      </c>
    </row>
    <row r="656" spans="1:2" ht="16.5" customHeight="1">
      <c r="A656" s="317" t="s">
        <v>393</v>
      </c>
      <c r="B656" s="317" t="s">
        <v>30</v>
      </c>
    </row>
    <row r="657" spans="1:2" ht="16.5" customHeight="1">
      <c r="A657" s="317" t="s">
        <v>394</v>
      </c>
      <c r="B657" s="317" t="s">
        <v>30</v>
      </c>
    </row>
    <row r="658" spans="1:2" ht="16.5" customHeight="1">
      <c r="A658" s="317" t="s">
        <v>395</v>
      </c>
      <c r="B658" s="317" t="s">
        <v>30</v>
      </c>
    </row>
    <row r="659" spans="1:2" ht="16.5" customHeight="1">
      <c r="A659" s="317" t="s">
        <v>396</v>
      </c>
      <c r="B659" s="317" t="s">
        <v>98</v>
      </c>
    </row>
    <row r="660" spans="1:2" ht="16.5" customHeight="1">
      <c r="A660" s="317" t="s">
        <v>397</v>
      </c>
      <c r="B660" s="317" t="s">
        <v>98</v>
      </c>
    </row>
    <row r="661" spans="1:2" ht="16.5" customHeight="1">
      <c r="A661" s="317" t="s">
        <v>398</v>
      </c>
      <c r="B661" s="317" t="s">
        <v>98</v>
      </c>
    </row>
    <row r="662" spans="1:2" ht="16.5" customHeight="1">
      <c r="A662" s="317" t="s">
        <v>399</v>
      </c>
      <c r="B662" s="317" t="s">
        <v>98</v>
      </c>
    </row>
    <row r="663" spans="1:2" ht="16.5" customHeight="1">
      <c r="A663" s="317" t="s">
        <v>400</v>
      </c>
      <c r="B663" s="317" t="s">
        <v>98</v>
      </c>
    </row>
    <row r="664" spans="1:2" ht="16.5" customHeight="1">
      <c r="A664" s="317" t="s">
        <v>401</v>
      </c>
      <c r="B664" s="317" t="s">
        <v>98</v>
      </c>
    </row>
    <row r="665" spans="1:2" ht="16.5" customHeight="1">
      <c r="A665" s="317" t="s">
        <v>402</v>
      </c>
      <c r="B665" s="317" t="s">
        <v>98</v>
      </c>
    </row>
    <row r="666" spans="1:2" ht="16.5" customHeight="1">
      <c r="A666" s="317" t="s">
        <v>403</v>
      </c>
      <c r="B666" s="317" t="s">
        <v>98</v>
      </c>
    </row>
    <row r="667" spans="1:2" ht="16.5" customHeight="1">
      <c r="A667" s="317" t="s">
        <v>404</v>
      </c>
      <c r="B667" s="317" t="s">
        <v>98</v>
      </c>
    </row>
    <row r="668" spans="1:2" ht="16.5" customHeight="1">
      <c r="A668" s="317" t="s">
        <v>405</v>
      </c>
      <c r="B668" s="317" t="s">
        <v>98</v>
      </c>
    </row>
    <row r="669" spans="1:2" ht="16.5" customHeight="1">
      <c r="A669" s="317" t="s">
        <v>406</v>
      </c>
      <c r="B669" s="317" t="s">
        <v>30</v>
      </c>
    </row>
    <row r="670" spans="1:2" ht="16.5" customHeight="1">
      <c r="A670" s="317" t="s">
        <v>407</v>
      </c>
      <c r="B670" s="317" t="s">
        <v>98</v>
      </c>
    </row>
    <row r="671" spans="1:2" ht="16.5" customHeight="1">
      <c r="A671" s="317" t="s">
        <v>408</v>
      </c>
      <c r="B671" s="317" t="s">
        <v>129</v>
      </c>
    </row>
    <row r="672" spans="1:2" ht="16.5" customHeight="1">
      <c r="A672" s="317" t="s">
        <v>409</v>
      </c>
      <c r="B672" s="317" t="s">
        <v>129</v>
      </c>
    </row>
    <row r="673" spans="1:2" ht="16.5" customHeight="1">
      <c r="A673" s="317" t="s">
        <v>410</v>
      </c>
      <c r="B673" s="317" t="s">
        <v>132</v>
      </c>
    </row>
    <row r="674" spans="1:2" ht="16.5" customHeight="1">
      <c r="A674" s="317" t="s">
        <v>411</v>
      </c>
      <c r="B674" s="317" t="s">
        <v>31</v>
      </c>
    </row>
    <row r="675" spans="1:2" ht="16.5" customHeight="1">
      <c r="A675" s="317" t="s">
        <v>412</v>
      </c>
      <c r="B675" s="317" t="s">
        <v>31</v>
      </c>
    </row>
    <row r="676" spans="1:2" ht="16.5" customHeight="1">
      <c r="A676" s="317" t="s">
        <v>413</v>
      </c>
      <c r="B676" s="317" t="s">
        <v>125</v>
      </c>
    </row>
    <row r="677" spans="1:2" ht="16.5" customHeight="1">
      <c r="A677" s="317" t="s">
        <v>414</v>
      </c>
      <c r="B677" s="317" t="s">
        <v>125</v>
      </c>
    </row>
    <row r="678" spans="1:2" ht="16.5" customHeight="1">
      <c r="A678" s="317" t="s">
        <v>415</v>
      </c>
      <c r="B678" s="317" t="s">
        <v>125</v>
      </c>
    </row>
    <row r="679" spans="1:2" ht="16.5" customHeight="1">
      <c r="A679" s="317" t="s">
        <v>416</v>
      </c>
      <c r="B679" s="317" t="s">
        <v>125</v>
      </c>
    </row>
    <row r="680" spans="1:2" ht="16.5" customHeight="1">
      <c r="A680" s="317" t="s">
        <v>417</v>
      </c>
      <c r="B680" s="317" t="s">
        <v>125</v>
      </c>
    </row>
    <row r="681" spans="1:2" ht="16.5" customHeight="1">
      <c r="A681" s="317" t="s">
        <v>418</v>
      </c>
      <c r="B681" s="317" t="s">
        <v>125</v>
      </c>
    </row>
    <row r="682" spans="1:2" ht="16.5" customHeight="1">
      <c r="A682" s="317" t="s">
        <v>419</v>
      </c>
      <c r="B682" s="317" t="s">
        <v>30</v>
      </c>
    </row>
    <row r="683" spans="1:2" ht="16.5" customHeight="1">
      <c r="A683" s="317" t="s">
        <v>420</v>
      </c>
      <c r="B683" s="317" t="s">
        <v>30</v>
      </c>
    </row>
    <row r="684" spans="1:2" ht="16.5" customHeight="1">
      <c r="A684" s="317" t="s">
        <v>421</v>
      </c>
      <c r="B684" s="317" t="s">
        <v>30</v>
      </c>
    </row>
    <row r="685" spans="1:2" ht="16.5" customHeight="1">
      <c r="A685" s="317" t="s">
        <v>422</v>
      </c>
      <c r="B685" s="317" t="s">
        <v>30</v>
      </c>
    </row>
    <row r="686" spans="1:2" ht="16.5" customHeight="1">
      <c r="A686" s="317" t="s">
        <v>423</v>
      </c>
      <c r="B686" s="317" t="s">
        <v>30</v>
      </c>
    </row>
    <row r="687" spans="1:2" ht="16.5" customHeight="1">
      <c r="A687" s="317" t="s">
        <v>424</v>
      </c>
      <c r="B687" s="317" t="s">
        <v>30</v>
      </c>
    </row>
    <row r="688" spans="1:2" ht="16.5" customHeight="1">
      <c r="A688" s="317" t="s">
        <v>425</v>
      </c>
      <c r="B688" s="317" t="s">
        <v>31</v>
      </c>
    </row>
    <row r="689" spans="1:2" ht="16.5" customHeight="1">
      <c r="A689" s="317" t="s">
        <v>426</v>
      </c>
      <c r="B689" s="317" t="s">
        <v>31</v>
      </c>
    </row>
    <row r="690" spans="1:2" ht="16.5" customHeight="1">
      <c r="A690" s="317" t="s">
        <v>427</v>
      </c>
      <c r="B690" s="317" t="s">
        <v>31</v>
      </c>
    </row>
    <row r="691" spans="1:2" ht="16.5" customHeight="1">
      <c r="A691" s="317" t="s">
        <v>428</v>
      </c>
      <c r="B691" s="317" t="s">
        <v>98</v>
      </c>
    </row>
    <row r="692" spans="1:2" ht="16.5" customHeight="1">
      <c r="A692" s="317" t="s">
        <v>429</v>
      </c>
      <c r="B692" s="317" t="s">
        <v>31</v>
      </c>
    </row>
    <row r="693" spans="1:2" ht="16.5" customHeight="1">
      <c r="A693" s="318" t="s">
        <v>430</v>
      </c>
      <c r="B693" s="318" t="s">
        <v>98</v>
      </c>
    </row>
    <row r="694" spans="1:2" ht="16.5" customHeight="1">
      <c r="A694" s="318">
        <v>8522</v>
      </c>
      <c r="B694" s="318" t="s">
        <v>31</v>
      </c>
    </row>
    <row r="695" spans="1:2" ht="16.5" customHeight="1">
      <c r="A695" s="318">
        <v>1431</v>
      </c>
      <c r="B695" s="318" t="s">
        <v>130</v>
      </c>
    </row>
    <row r="696" spans="1:2" ht="16.5" customHeight="1">
      <c r="A696" s="318">
        <v>1461</v>
      </c>
      <c r="B696" s="318" t="s">
        <v>130</v>
      </c>
    </row>
    <row r="697" spans="1:2" ht="16.5" customHeight="1">
      <c r="A697" s="318">
        <v>1526</v>
      </c>
      <c r="B697" s="322" t="s">
        <v>130</v>
      </c>
    </row>
    <row r="698" spans="1:2" ht="16.5" customHeight="1">
      <c r="A698" s="317">
        <v>1535</v>
      </c>
      <c r="B698" s="317" t="s">
        <v>130</v>
      </c>
    </row>
    <row r="699" spans="1:2" ht="16.5" customHeight="1">
      <c r="A699" s="318">
        <v>1670</v>
      </c>
      <c r="B699" s="321" t="s">
        <v>125</v>
      </c>
    </row>
    <row r="700" spans="1:2" ht="16.5" customHeight="1">
      <c r="A700" s="318">
        <v>1695</v>
      </c>
      <c r="B700" s="321" t="s">
        <v>98</v>
      </c>
    </row>
    <row r="701" spans="1:2" ht="16.5" customHeight="1">
      <c r="A701" s="318">
        <v>1697</v>
      </c>
      <c r="B701" s="321" t="s">
        <v>98</v>
      </c>
    </row>
    <row r="702" spans="1:2" ht="16.5" customHeight="1">
      <c r="A702" s="318">
        <v>1698</v>
      </c>
      <c r="B702" s="321" t="s">
        <v>98</v>
      </c>
    </row>
    <row r="703" spans="1:2" ht="16.5" customHeight="1">
      <c r="A703" s="318">
        <v>1699</v>
      </c>
      <c r="B703" s="322" t="s">
        <v>98</v>
      </c>
    </row>
    <row r="704" spans="1:2" ht="16.5" customHeight="1">
      <c r="A704" s="318">
        <v>1727</v>
      </c>
      <c r="B704" s="322" t="s">
        <v>128</v>
      </c>
    </row>
    <row r="705" spans="1:2" ht="16.5" customHeight="1">
      <c r="A705" s="318">
        <v>1732</v>
      </c>
      <c r="B705" s="322" t="s">
        <v>98</v>
      </c>
    </row>
    <row r="706" spans="1:2" ht="16.5" customHeight="1">
      <c r="A706" s="317">
        <v>1733</v>
      </c>
      <c r="B706" s="317" t="s">
        <v>128</v>
      </c>
    </row>
    <row r="707" spans="1:2" ht="16.5" customHeight="1">
      <c r="A707" s="317">
        <v>1735</v>
      </c>
      <c r="B707" s="317" t="s">
        <v>128</v>
      </c>
    </row>
    <row r="708" spans="1:2" ht="16.5" customHeight="1">
      <c r="A708" s="318">
        <v>1737</v>
      </c>
      <c r="B708" s="318" t="s">
        <v>128</v>
      </c>
    </row>
    <row r="709" spans="1:2" ht="16.5" customHeight="1">
      <c r="A709" s="318">
        <v>1738</v>
      </c>
      <c r="B709" s="321" t="s">
        <v>128</v>
      </c>
    </row>
    <row r="710" spans="1:2" ht="16.5" customHeight="1">
      <c r="A710" s="318">
        <v>1739</v>
      </c>
      <c r="B710" s="318" t="s">
        <v>98</v>
      </c>
    </row>
    <row r="711" spans="1:2" ht="16.5" customHeight="1">
      <c r="A711" s="318">
        <v>1742</v>
      </c>
      <c r="B711" s="318" t="s">
        <v>128</v>
      </c>
    </row>
    <row r="712" spans="1:2" ht="16.5" customHeight="1">
      <c r="A712" s="318">
        <v>1743</v>
      </c>
      <c r="B712" s="318" t="s">
        <v>128</v>
      </c>
    </row>
    <row r="713" spans="1:2" ht="16.5" customHeight="1">
      <c r="A713" s="318">
        <v>1744</v>
      </c>
      <c r="B713" s="318" t="s">
        <v>128</v>
      </c>
    </row>
    <row r="714" spans="1:2" ht="16.5" customHeight="1">
      <c r="A714" s="318">
        <v>1746</v>
      </c>
      <c r="B714" s="318" t="s">
        <v>98</v>
      </c>
    </row>
    <row r="715" spans="1:2" ht="16.5" customHeight="1">
      <c r="A715" s="318">
        <v>1747</v>
      </c>
      <c r="B715" s="318" t="s">
        <v>128</v>
      </c>
    </row>
    <row r="716" spans="1:2" ht="16.5" customHeight="1">
      <c r="A716" s="317">
        <v>1748</v>
      </c>
      <c r="B716" s="317" t="s">
        <v>128</v>
      </c>
    </row>
    <row r="717" spans="1:2" ht="16.5" customHeight="1">
      <c r="A717" s="318">
        <v>1749</v>
      </c>
      <c r="B717" s="322" t="s">
        <v>125</v>
      </c>
    </row>
    <row r="718" spans="1:2" ht="16.5" customHeight="1">
      <c r="A718" s="318">
        <v>1776</v>
      </c>
      <c r="B718" s="321" t="s">
        <v>98</v>
      </c>
    </row>
    <row r="719" spans="1:2" ht="16.5" customHeight="1">
      <c r="A719" s="317">
        <v>1777</v>
      </c>
      <c r="B719" s="319" t="s">
        <v>98</v>
      </c>
    </row>
    <row r="720" spans="1:2" ht="16.5" customHeight="1">
      <c r="A720" s="317">
        <v>1778</v>
      </c>
      <c r="B720" s="319" t="s">
        <v>98</v>
      </c>
    </row>
    <row r="721" spans="1:2" ht="16.5" customHeight="1">
      <c r="A721" s="317">
        <v>1779</v>
      </c>
      <c r="B721" s="317" t="s">
        <v>98</v>
      </c>
    </row>
    <row r="722" spans="1:2" ht="16.5" customHeight="1">
      <c r="A722" s="317">
        <v>1780</v>
      </c>
      <c r="B722" s="317" t="s">
        <v>98</v>
      </c>
    </row>
    <row r="723" spans="1:2" ht="16.5" customHeight="1">
      <c r="A723" s="317">
        <v>1781</v>
      </c>
      <c r="B723" s="319" t="s">
        <v>98</v>
      </c>
    </row>
    <row r="724" spans="1:2" ht="16.5" customHeight="1">
      <c r="A724" s="318">
        <v>1782</v>
      </c>
      <c r="B724" s="319" t="s">
        <v>98</v>
      </c>
    </row>
    <row r="725" spans="1:2" ht="16.5" customHeight="1">
      <c r="A725" s="317">
        <v>1783</v>
      </c>
      <c r="B725" s="319" t="s">
        <v>98</v>
      </c>
    </row>
    <row r="726" spans="1:2" ht="16.5" customHeight="1">
      <c r="A726" s="318">
        <v>1798</v>
      </c>
      <c r="B726" s="321" t="s">
        <v>98</v>
      </c>
    </row>
    <row r="727" spans="1:2" ht="16.5" customHeight="1">
      <c r="A727" s="318">
        <v>1849</v>
      </c>
      <c r="B727" s="321" t="s">
        <v>98</v>
      </c>
    </row>
    <row r="728" spans="1:2" ht="16.5" customHeight="1">
      <c r="A728" s="318">
        <v>1850</v>
      </c>
      <c r="B728" s="321" t="s">
        <v>132</v>
      </c>
    </row>
    <row r="729" spans="1:2" ht="16.5" customHeight="1">
      <c r="A729" s="318">
        <v>1858</v>
      </c>
      <c r="B729" s="321" t="s">
        <v>98</v>
      </c>
    </row>
    <row r="730" spans="1:2" ht="16.5" customHeight="1">
      <c r="A730" s="318">
        <v>1859</v>
      </c>
      <c r="B730" s="322" t="s">
        <v>98</v>
      </c>
    </row>
    <row r="731" spans="1:2" ht="16.5" customHeight="1">
      <c r="A731" s="318">
        <v>1866</v>
      </c>
      <c r="B731" s="322" t="s">
        <v>128</v>
      </c>
    </row>
    <row r="732" spans="1:2" ht="16.5" customHeight="1">
      <c r="A732" s="318">
        <v>1867</v>
      </c>
      <c r="B732" s="322" t="s">
        <v>98</v>
      </c>
    </row>
    <row r="733" spans="1:2" ht="16.5" customHeight="1">
      <c r="A733" s="318">
        <v>1868</v>
      </c>
      <c r="B733" s="322" t="s">
        <v>98</v>
      </c>
    </row>
    <row r="734" spans="1:2" ht="16.5" customHeight="1">
      <c r="A734" s="318">
        <v>1869</v>
      </c>
      <c r="B734" s="322" t="s">
        <v>98</v>
      </c>
    </row>
    <row r="735" spans="1:2" ht="16.5" customHeight="1">
      <c r="A735" s="318">
        <v>1890</v>
      </c>
      <c r="B735" s="318" t="s">
        <v>98</v>
      </c>
    </row>
    <row r="736" spans="1:2" ht="16.5" customHeight="1">
      <c r="A736" s="318">
        <v>1891</v>
      </c>
      <c r="B736" s="318" t="s">
        <v>128</v>
      </c>
    </row>
    <row r="737" spans="1:2" ht="16.5" customHeight="1">
      <c r="A737" s="318">
        <v>1892</v>
      </c>
      <c r="B737" s="318" t="s">
        <v>128</v>
      </c>
    </row>
    <row r="738" spans="1:2" ht="16.5" customHeight="1">
      <c r="A738" s="318">
        <v>1893</v>
      </c>
      <c r="B738" s="318" t="s">
        <v>128</v>
      </c>
    </row>
    <row r="739" spans="1:2" ht="16.5" customHeight="1">
      <c r="A739" s="318">
        <v>1895</v>
      </c>
      <c r="B739" s="322" t="s">
        <v>98</v>
      </c>
    </row>
    <row r="740" spans="1:2" ht="16.5" customHeight="1">
      <c r="A740" s="317">
        <v>1896</v>
      </c>
      <c r="B740" s="319" t="s">
        <v>98</v>
      </c>
    </row>
    <row r="741" spans="1:2" ht="16.5" customHeight="1">
      <c r="A741" s="318">
        <v>1898</v>
      </c>
      <c r="B741" s="322" t="s">
        <v>98</v>
      </c>
    </row>
    <row r="742" spans="1:2" ht="16.5" customHeight="1">
      <c r="A742" s="317">
        <v>1899</v>
      </c>
      <c r="B742" s="317" t="s">
        <v>98</v>
      </c>
    </row>
    <row r="743" spans="1:2" ht="16.5" customHeight="1">
      <c r="A743" s="317">
        <v>1935</v>
      </c>
      <c r="B743" s="317" t="s">
        <v>30</v>
      </c>
    </row>
    <row r="744" spans="1:2" ht="16.5" customHeight="1">
      <c r="A744" s="317">
        <v>1936</v>
      </c>
      <c r="B744" s="318" t="s">
        <v>30</v>
      </c>
    </row>
    <row r="745" spans="1:2" ht="16.5" customHeight="1">
      <c r="A745" s="317">
        <v>1937</v>
      </c>
      <c r="B745" s="319" t="s">
        <v>30</v>
      </c>
    </row>
    <row r="746" spans="1:2" ht="16.5" customHeight="1">
      <c r="A746" s="318">
        <v>1943</v>
      </c>
      <c r="B746" s="322" t="s">
        <v>98</v>
      </c>
    </row>
    <row r="747" spans="1:2" ht="16.5" customHeight="1">
      <c r="A747" s="317">
        <v>1944</v>
      </c>
      <c r="B747" s="319" t="s">
        <v>98</v>
      </c>
    </row>
    <row r="748" spans="1:2" ht="16.5" customHeight="1">
      <c r="A748" s="317">
        <v>1984</v>
      </c>
      <c r="B748" s="319" t="s">
        <v>98</v>
      </c>
    </row>
    <row r="749" spans="1:2" ht="16.5" customHeight="1">
      <c r="A749" s="317">
        <v>2086</v>
      </c>
      <c r="B749" s="319" t="s">
        <v>98</v>
      </c>
    </row>
    <row r="750" spans="1:2" ht="16.5" customHeight="1">
      <c r="A750" s="318">
        <v>2087</v>
      </c>
      <c r="B750" s="319" t="s">
        <v>98</v>
      </c>
    </row>
    <row r="751" spans="1:2" ht="16.5" customHeight="1">
      <c r="A751" s="318">
        <v>2145</v>
      </c>
      <c r="B751" s="319" t="s">
        <v>31</v>
      </c>
    </row>
    <row r="752" spans="1:2" ht="16.5" customHeight="1">
      <c r="A752" s="318">
        <v>2146</v>
      </c>
      <c r="B752" s="319" t="s">
        <v>31</v>
      </c>
    </row>
    <row r="753" spans="1:2" ht="16.5" customHeight="1">
      <c r="A753" s="317">
        <v>2157</v>
      </c>
      <c r="B753" s="317" t="s">
        <v>31</v>
      </c>
    </row>
    <row r="754" spans="1:2" ht="16.5" customHeight="1">
      <c r="A754" s="317">
        <v>2231</v>
      </c>
      <c r="B754" s="317" t="s">
        <v>98</v>
      </c>
    </row>
    <row r="755" spans="1:2" ht="16.5" customHeight="1">
      <c r="A755" s="317">
        <v>2232</v>
      </c>
      <c r="B755" s="317" t="s">
        <v>98</v>
      </c>
    </row>
    <row r="756" spans="1:2" ht="16.5" customHeight="1">
      <c r="A756" s="317">
        <v>2233</v>
      </c>
      <c r="B756" s="317" t="s">
        <v>98</v>
      </c>
    </row>
    <row r="757" spans="1:2" ht="16.5" customHeight="1">
      <c r="A757" s="317">
        <v>2234</v>
      </c>
      <c r="B757" s="317" t="s">
        <v>98</v>
      </c>
    </row>
    <row r="758" spans="1:2" ht="16.5" customHeight="1">
      <c r="A758" s="317">
        <v>2235</v>
      </c>
      <c r="B758" s="317" t="s">
        <v>98</v>
      </c>
    </row>
    <row r="759" spans="1:2" ht="16.5" customHeight="1">
      <c r="A759" s="317">
        <v>2236</v>
      </c>
      <c r="B759" s="317" t="s">
        <v>98</v>
      </c>
    </row>
    <row r="760" spans="1:2" ht="16.5" customHeight="1">
      <c r="A760" s="318">
        <v>2533</v>
      </c>
      <c r="B760" s="318" t="s">
        <v>98</v>
      </c>
    </row>
    <row r="761" spans="1:2" ht="16.5" customHeight="1">
      <c r="A761" s="318">
        <v>2650</v>
      </c>
      <c r="B761" s="322" t="s">
        <v>130</v>
      </c>
    </row>
    <row r="762" spans="1:2" ht="16.5" customHeight="1">
      <c r="A762" s="318">
        <v>2665</v>
      </c>
      <c r="B762" s="318" t="s">
        <v>130</v>
      </c>
    </row>
    <row r="763" spans="1:2" ht="16.5" customHeight="1">
      <c r="A763" s="318">
        <v>2680</v>
      </c>
      <c r="B763" s="318" t="s">
        <v>130</v>
      </c>
    </row>
    <row r="764" spans="1:2" ht="16.5" customHeight="1">
      <c r="A764" s="318">
        <v>2705</v>
      </c>
      <c r="B764" s="318" t="s">
        <v>31</v>
      </c>
    </row>
    <row r="765" spans="1:2" ht="16.5" customHeight="1">
      <c r="A765" s="317">
        <v>2720</v>
      </c>
      <c r="B765" s="319" t="s">
        <v>31</v>
      </c>
    </row>
    <row r="766" spans="1:2" ht="16.5" customHeight="1">
      <c r="A766" s="318">
        <v>2735</v>
      </c>
      <c r="B766" s="318" t="s">
        <v>31</v>
      </c>
    </row>
    <row r="767" spans="1:2" ht="16.5" customHeight="1">
      <c r="A767" s="318">
        <v>2750</v>
      </c>
      <c r="B767" s="318" t="s">
        <v>31</v>
      </c>
    </row>
    <row r="768" spans="1:2" ht="16.5" customHeight="1">
      <c r="A768" s="318">
        <v>2765</v>
      </c>
      <c r="B768" s="318" t="s">
        <v>31</v>
      </c>
    </row>
    <row r="769" spans="1:2" ht="16.5" customHeight="1">
      <c r="A769" s="317">
        <v>2780</v>
      </c>
      <c r="B769" s="319" t="s">
        <v>130</v>
      </c>
    </row>
    <row r="770" spans="1:2" ht="16.5" customHeight="1">
      <c r="A770" s="317">
        <v>2808</v>
      </c>
      <c r="B770" s="319" t="s">
        <v>98</v>
      </c>
    </row>
    <row r="771" spans="1:2" ht="16.5" customHeight="1">
      <c r="A771" s="318">
        <v>2814</v>
      </c>
      <c r="B771" s="322" t="s">
        <v>98</v>
      </c>
    </row>
    <row r="772" spans="1:2" ht="16.5" customHeight="1">
      <c r="A772" s="317">
        <v>2815</v>
      </c>
      <c r="B772" s="319" t="s">
        <v>98</v>
      </c>
    </row>
    <row r="773" spans="1:2" ht="16.5" customHeight="1">
      <c r="A773" s="318">
        <v>2885</v>
      </c>
      <c r="B773" s="321" t="s">
        <v>98</v>
      </c>
    </row>
    <row r="774" spans="1:2" ht="16.5" customHeight="1">
      <c r="A774" s="317">
        <v>3122</v>
      </c>
      <c r="B774" s="319" t="s">
        <v>129</v>
      </c>
    </row>
    <row r="775" spans="1:2" ht="16.5" customHeight="1">
      <c r="A775" s="317">
        <v>3123</v>
      </c>
      <c r="B775" s="319" t="s">
        <v>129</v>
      </c>
    </row>
    <row r="776" spans="1:2" ht="16.5" customHeight="1">
      <c r="A776" s="317">
        <v>3124</v>
      </c>
      <c r="B776" s="319" t="s">
        <v>129</v>
      </c>
    </row>
    <row r="777" spans="1:2" ht="16.5" customHeight="1">
      <c r="A777" s="318">
        <v>3126</v>
      </c>
      <c r="B777" s="318" t="s">
        <v>129</v>
      </c>
    </row>
    <row r="778" spans="1:2" ht="16.5" customHeight="1">
      <c r="A778" s="317">
        <v>3128</v>
      </c>
      <c r="B778" s="319" t="s">
        <v>31</v>
      </c>
    </row>
    <row r="779" spans="1:2" ht="16.5" customHeight="1">
      <c r="A779" s="318">
        <v>3129</v>
      </c>
      <c r="B779" s="318" t="s">
        <v>129</v>
      </c>
    </row>
    <row r="780" spans="1:2" ht="16.5" customHeight="1">
      <c r="A780" s="318">
        <v>3131</v>
      </c>
      <c r="B780" s="318" t="s">
        <v>31</v>
      </c>
    </row>
    <row r="781" spans="1:2" ht="16.5" customHeight="1">
      <c r="A781" s="318">
        <v>3132</v>
      </c>
      <c r="B781" s="318" t="s">
        <v>31</v>
      </c>
    </row>
    <row r="782" spans="1:2" ht="16.5" customHeight="1">
      <c r="A782" s="317">
        <v>3143</v>
      </c>
      <c r="B782" s="317" t="s">
        <v>31</v>
      </c>
    </row>
    <row r="783" spans="1:2" ht="16.5" customHeight="1">
      <c r="A783" s="318">
        <v>3161</v>
      </c>
      <c r="B783" s="318" t="s">
        <v>98</v>
      </c>
    </row>
    <row r="784" spans="1:2" ht="16.5" customHeight="1">
      <c r="A784" s="318">
        <v>3165</v>
      </c>
      <c r="B784" s="318" t="s">
        <v>31</v>
      </c>
    </row>
    <row r="785" spans="1:2" ht="16.5" customHeight="1">
      <c r="A785" s="318">
        <v>3166</v>
      </c>
      <c r="B785" s="318" t="s">
        <v>98</v>
      </c>
    </row>
    <row r="786" spans="1:2" ht="16.5" customHeight="1">
      <c r="A786" s="318">
        <v>3187</v>
      </c>
      <c r="B786" s="318" t="s">
        <v>31</v>
      </c>
    </row>
    <row r="787" spans="1:2" ht="16.5" customHeight="1">
      <c r="A787" s="318">
        <v>3189</v>
      </c>
      <c r="B787" s="318" t="s">
        <v>31</v>
      </c>
    </row>
    <row r="788" spans="1:2" ht="16.5" customHeight="1">
      <c r="A788" s="318">
        <v>3195</v>
      </c>
      <c r="B788" s="318" t="s">
        <v>31</v>
      </c>
    </row>
    <row r="789" spans="1:2" ht="16.5" customHeight="1">
      <c r="A789" s="318">
        <v>3294</v>
      </c>
      <c r="B789" s="318" t="s">
        <v>31</v>
      </c>
    </row>
    <row r="790" spans="1:2" ht="16.5" customHeight="1">
      <c r="A790" s="318">
        <v>3264</v>
      </c>
      <c r="B790" s="318" t="s">
        <v>31</v>
      </c>
    </row>
    <row r="791" spans="1:2" ht="16.5" customHeight="1">
      <c r="A791" s="317">
        <v>3280</v>
      </c>
      <c r="B791" s="317" t="s">
        <v>31</v>
      </c>
    </row>
    <row r="792" spans="1:2" ht="16.5" customHeight="1">
      <c r="A792" s="318">
        <v>3320</v>
      </c>
      <c r="B792" s="318" t="s">
        <v>31</v>
      </c>
    </row>
    <row r="793" spans="1:2" ht="16.5" customHeight="1">
      <c r="A793" s="318">
        <v>3330</v>
      </c>
      <c r="B793" s="318" t="s">
        <v>31</v>
      </c>
    </row>
    <row r="794" spans="1:2" ht="16.5" customHeight="1">
      <c r="A794" s="318">
        <v>3340</v>
      </c>
      <c r="B794" s="318" t="s">
        <v>31</v>
      </c>
    </row>
    <row r="795" spans="1:2" ht="16.5" customHeight="1">
      <c r="A795" s="318">
        <v>3350</v>
      </c>
      <c r="B795" s="318" t="s">
        <v>31</v>
      </c>
    </row>
    <row r="796" spans="1:2" ht="16.5" customHeight="1">
      <c r="A796" s="318">
        <v>3380</v>
      </c>
      <c r="B796" s="318" t="s">
        <v>98</v>
      </c>
    </row>
    <row r="797" spans="1:2" ht="16.5" customHeight="1">
      <c r="A797" s="317">
        <v>3400</v>
      </c>
      <c r="B797" s="317" t="s">
        <v>98</v>
      </c>
    </row>
    <row r="798" spans="1:2" ht="16.5" customHeight="1">
      <c r="A798" s="318">
        <v>3401</v>
      </c>
      <c r="B798" s="322" t="s">
        <v>30</v>
      </c>
    </row>
    <row r="799" spans="1:2" ht="16.5" customHeight="1">
      <c r="A799" s="317">
        <v>3405</v>
      </c>
      <c r="B799" s="317" t="s">
        <v>98</v>
      </c>
    </row>
    <row r="800" spans="1:2" ht="16.5" customHeight="1">
      <c r="A800" s="317">
        <v>3406</v>
      </c>
      <c r="B800" s="317" t="s">
        <v>98</v>
      </c>
    </row>
    <row r="801" spans="1:2" ht="16.5" customHeight="1">
      <c r="A801" s="317">
        <v>3407</v>
      </c>
      <c r="B801" s="317" t="s">
        <v>30</v>
      </c>
    </row>
    <row r="802" spans="1:2" ht="16.5" customHeight="1">
      <c r="A802" s="317">
        <v>3430</v>
      </c>
      <c r="B802" s="317" t="s">
        <v>31</v>
      </c>
    </row>
    <row r="803" spans="1:2" ht="16.5" customHeight="1">
      <c r="A803" s="317">
        <v>3460</v>
      </c>
      <c r="B803" s="317" t="s">
        <v>30</v>
      </c>
    </row>
    <row r="804" spans="1:2" ht="16.5" customHeight="1">
      <c r="A804" s="318">
        <v>3549</v>
      </c>
      <c r="B804" s="318" t="s">
        <v>130</v>
      </c>
    </row>
    <row r="805" spans="1:2" ht="16.5" customHeight="1">
      <c r="A805" s="318">
        <v>3591</v>
      </c>
      <c r="B805" s="322" t="s">
        <v>129</v>
      </c>
    </row>
    <row r="806" spans="1:2" ht="16.5" customHeight="1">
      <c r="A806" s="318">
        <v>3592</v>
      </c>
      <c r="B806" s="322" t="s">
        <v>129</v>
      </c>
    </row>
    <row r="807" spans="1:2" ht="16.5" customHeight="1">
      <c r="A807" s="318">
        <v>3594</v>
      </c>
      <c r="B807" s="322" t="s">
        <v>98</v>
      </c>
    </row>
    <row r="808" spans="1:2" ht="16.5" customHeight="1">
      <c r="A808" s="318">
        <v>3595</v>
      </c>
      <c r="B808" s="318" t="s">
        <v>129</v>
      </c>
    </row>
    <row r="809" spans="1:2" ht="16.5" customHeight="1">
      <c r="A809" s="318">
        <v>3650</v>
      </c>
      <c r="B809" s="318" t="s">
        <v>130</v>
      </c>
    </row>
    <row r="810" spans="1:2" ht="16.5" customHeight="1">
      <c r="A810" s="318">
        <v>3690</v>
      </c>
      <c r="B810" s="318" t="s">
        <v>31</v>
      </c>
    </row>
    <row r="811" spans="1:2" ht="16.5" customHeight="1">
      <c r="A811" s="318">
        <v>3730</v>
      </c>
      <c r="B811" s="319" t="s">
        <v>31</v>
      </c>
    </row>
    <row r="812" spans="1:2" ht="16.5" customHeight="1">
      <c r="A812" s="317">
        <v>3780</v>
      </c>
      <c r="B812" s="319" t="s">
        <v>31</v>
      </c>
    </row>
    <row r="813" spans="1:2" ht="16.5" customHeight="1">
      <c r="A813" s="317">
        <v>3788</v>
      </c>
      <c r="B813" s="317" t="s">
        <v>129</v>
      </c>
    </row>
    <row r="814" spans="1:2" ht="16.5" customHeight="1">
      <c r="A814" s="317">
        <v>3810</v>
      </c>
      <c r="B814" s="317" t="s">
        <v>31</v>
      </c>
    </row>
    <row r="815" spans="1:2" ht="16.5" customHeight="1">
      <c r="A815" s="318">
        <v>3850</v>
      </c>
      <c r="B815" s="318" t="s">
        <v>98</v>
      </c>
    </row>
    <row r="816" spans="1:2" ht="16.5" customHeight="1">
      <c r="A816" s="318">
        <v>3870</v>
      </c>
      <c r="B816" s="321" t="s">
        <v>128</v>
      </c>
    </row>
    <row r="817" spans="1:2" ht="16.5" customHeight="1">
      <c r="A817" s="318">
        <v>3899</v>
      </c>
      <c r="B817" s="318" t="s">
        <v>98</v>
      </c>
    </row>
    <row r="818" spans="1:2" ht="16.5" customHeight="1">
      <c r="A818" s="317">
        <v>3916</v>
      </c>
      <c r="B818" s="319" t="s">
        <v>98</v>
      </c>
    </row>
    <row r="819" spans="1:2" ht="16.5" customHeight="1">
      <c r="A819" s="317">
        <v>3917</v>
      </c>
      <c r="B819" s="319" t="s">
        <v>98</v>
      </c>
    </row>
    <row r="820" spans="1:2" ht="16.5" customHeight="1">
      <c r="A820" s="317">
        <v>3927</v>
      </c>
      <c r="B820" s="319" t="s">
        <v>98</v>
      </c>
    </row>
    <row r="821" spans="1:2" ht="16.5" customHeight="1">
      <c r="A821" s="318">
        <v>3928</v>
      </c>
      <c r="B821" s="318" t="s">
        <v>98</v>
      </c>
    </row>
    <row r="822" spans="1:2" ht="16.5" customHeight="1">
      <c r="A822" s="317">
        <v>3929</v>
      </c>
      <c r="B822" s="319" t="s">
        <v>98</v>
      </c>
    </row>
    <row r="823" spans="1:2" ht="16.5" customHeight="1">
      <c r="A823" s="317">
        <v>3981</v>
      </c>
      <c r="B823" s="319" t="s">
        <v>98</v>
      </c>
    </row>
    <row r="824" spans="1:2" ht="16.5" customHeight="1">
      <c r="A824" s="317">
        <v>3982</v>
      </c>
      <c r="B824" s="319" t="s">
        <v>31</v>
      </c>
    </row>
    <row r="825" spans="1:2" ht="16.5" customHeight="1">
      <c r="A825" s="317">
        <v>3983</v>
      </c>
      <c r="B825" s="319" t="s">
        <v>31</v>
      </c>
    </row>
    <row r="826" spans="1:2" ht="16.5" customHeight="1">
      <c r="A826" s="318">
        <v>3984</v>
      </c>
      <c r="B826" s="317" t="s">
        <v>31</v>
      </c>
    </row>
    <row r="827" spans="1:2" ht="16.5" customHeight="1">
      <c r="A827" s="317">
        <v>4402</v>
      </c>
      <c r="B827" s="317" t="s">
        <v>125</v>
      </c>
    </row>
    <row r="828" spans="1:2" ht="16.5" customHeight="1">
      <c r="A828" s="318">
        <v>4487</v>
      </c>
      <c r="B828" s="317" t="s">
        <v>125</v>
      </c>
    </row>
    <row r="829" spans="1:2" ht="16.5" customHeight="1">
      <c r="A829" s="318">
        <v>4787</v>
      </c>
      <c r="B829" s="318" t="s">
        <v>125</v>
      </c>
    </row>
    <row r="830" spans="1:2" ht="16.5" customHeight="1">
      <c r="A830" s="318">
        <v>4800</v>
      </c>
      <c r="B830" s="318" t="s">
        <v>31</v>
      </c>
    </row>
    <row r="831" spans="1:2" ht="16.5" customHeight="1">
      <c r="A831" s="317">
        <v>4810</v>
      </c>
      <c r="B831" s="317" t="s">
        <v>31</v>
      </c>
    </row>
    <row r="832" spans="1:2" ht="16.5" customHeight="1">
      <c r="A832" s="318">
        <v>4820</v>
      </c>
      <c r="B832" s="322" t="s">
        <v>31</v>
      </c>
    </row>
    <row r="833" spans="1:2" ht="16.5" customHeight="1">
      <c r="A833" s="318">
        <v>4850</v>
      </c>
      <c r="B833" s="322" t="s">
        <v>128</v>
      </c>
    </row>
    <row r="834" spans="1:2" ht="16.5" customHeight="1">
      <c r="A834" s="318">
        <v>4869</v>
      </c>
      <c r="B834" s="322" t="s">
        <v>98</v>
      </c>
    </row>
    <row r="835" spans="1:2" ht="16.5" customHeight="1">
      <c r="A835" s="318">
        <v>4870</v>
      </c>
      <c r="B835" s="318" t="s">
        <v>98</v>
      </c>
    </row>
    <row r="836" spans="1:2" ht="16.5" customHeight="1">
      <c r="A836" s="318">
        <v>5110</v>
      </c>
      <c r="B836" s="318" t="s">
        <v>98</v>
      </c>
    </row>
    <row r="837" spans="1:2" ht="16.5" customHeight="1">
      <c r="A837" s="318">
        <v>6025</v>
      </c>
      <c r="B837" s="318" t="s">
        <v>30</v>
      </c>
    </row>
    <row r="838" spans="1:2" ht="16.5" customHeight="1">
      <c r="A838" s="318">
        <v>5390</v>
      </c>
      <c r="B838" s="318" t="s">
        <v>31</v>
      </c>
    </row>
    <row r="839" spans="1:2" ht="16.5" customHeight="1">
      <c r="A839" s="317">
        <v>5424</v>
      </c>
      <c r="B839" s="318" t="s">
        <v>31</v>
      </c>
    </row>
    <row r="840" spans="1:2" ht="16.5" customHeight="1">
      <c r="A840" s="317">
        <v>6324</v>
      </c>
      <c r="B840" s="319" t="s">
        <v>31</v>
      </c>
    </row>
    <row r="841" spans="1:2" ht="16.5" customHeight="1">
      <c r="A841" s="317">
        <v>6355</v>
      </c>
      <c r="B841" s="319" t="s">
        <v>98</v>
      </c>
    </row>
    <row r="842" spans="1:2" ht="16.5" customHeight="1">
      <c r="A842" s="317">
        <v>6356</v>
      </c>
      <c r="B842" s="319" t="s">
        <v>98</v>
      </c>
    </row>
    <row r="843" spans="1:2" ht="16.5" customHeight="1">
      <c r="A843" s="317">
        <v>6389</v>
      </c>
      <c r="B843" s="319" t="s">
        <v>31</v>
      </c>
    </row>
    <row r="844" spans="1:2" ht="16.5" customHeight="1">
      <c r="A844" s="317">
        <v>6390</v>
      </c>
      <c r="B844" s="317" t="s">
        <v>31</v>
      </c>
    </row>
    <row r="845" spans="1:2" ht="16.5" customHeight="1">
      <c r="A845" s="317">
        <v>7010</v>
      </c>
      <c r="B845" s="319" t="s">
        <v>129</v>
      </c>
    </row>
    <row r="846" spans="1:2" ht="16.5" customHeight="1">
      <c r="A846" s="318">
        <v>7064</v>
      </c>
      <c r="B846" s="322" t="s">
        <v>129</v>
      </c>
    </row>
    <row r="847" spans="1:2" ht="16.5" customHeight="1">
      <c r="A847" s="318">
        <v>7066</v>
      </c>
      <c r="B847" s="323" t="s">
        <v>125</v>
      </c>
    </row>
    <row r="848" spans="1:2" ht="16.5" customHeight="1">
      <c r="A848" s="318">
        <v>7067</v>
      </c>
      <c r="B848" s="318" t="s">
        <v>130</v>
      </c>
    </row>
    <row r="849" spans="1:2" ht="16.5" customHeight="1">
      <c r="A849" s="318">
        <v>7707</v>
      </c>
      <c r="B849" s="323" t="s">
        <v>129</v>
      </c>
    </row>
    <row r="850" spans="1:2" ht="16.5" customHeight="1">
      <c r="A850" s="318">
        <v>7708</v>
      </c>
      <c r="B850" s="322" t="s">
        <v>130</v>
      </c>
    </row>
    <row r="851" spans="1:2" ht="16.5" customHeight="1">
      <c r="A851" s="318">
        <v>7713</v>
      </c>
      <c r="B851" s="318" t="s">
        <v>129</v>
      </c>
    </row>
    <row r="852" spans="1:2" ht="16.5" customHeight="1">
      <c r="A852" s="318">
        <v>8020</v>
      </c>
      <c r="B852" s="318" t="s">
        <v>98</v>
      </c>
    </row>
    <row r="853" spans="1:2" ht="16.5" customHeight="1">
      <c r="A853" s="318">
        <v>8021</v>
      </c>
      <c r="B853" s="318" t="s">
        <v>98</v>
      </c>
    </row>
    <row r="854" spans="1:2" ht="16.5" customHeight="1">
      <c r="A854" s="317">
        <v>8022</v>
      </c>
      <c r="B854" s="319" t="s">
        <v>98</v>
      </c>
    </row>
    <row r="855" spans="1:2" ht="16.5" customHeight="1">
      <c r="A855" s="318">
        <v>8143</v>
      </c>
      <c r="B855" s="318" t="s">
        <v>130</v>
      </c>
    </row>
    <row r="856" spans="1:2" ht="16.5" customHeight="1">
      <c r="A856" s="318">
        <v>8149</v>
      </c>
      <c r="B856" s="318" t="s">
        <v>125</v>
      </c>
    </row>
    <row r="857" spans="1:2" ht="16.5" customHeight="1">
      <c r="A857" s="318">
        <v>8290</v>
      </c>
      <c r="B857" s="322" t="s">
        <v>98</v>
      </c>
    </row>
    <row r="858" spans="1:2" ht="16.5" customHeight="1">
      <c r="A858" s="318">
        <v>8310</v>
      </c>
      <c r="B858" s="322" t="s">
        <v>98</v>
      </c>
    </row>
    <row r="859" spans="1:2" ht="16.5" customHeight="1">
      <c r="A859" s="318">
        <v>8325</v>
      </c>
      <c r="B859" s="322" t="s">
        <v>98</v>
      </c>
    </row>
    <row r="860" spans="1:2" ht="16.5" customHeight="1">
      <c r="A860" s="318">
        <v>8340</v>
      </c>
      <c r="B860" s="322" t="s">
        <v>98</v>
      </c>
    </row>
    <row r="861" spans="1:2" ht="16.5" customHeight="1">
      <c r="A861" s="318">
        <v>8355</v>
      </c>
      <c r="B861" s="322" t="s">
        <v>98</v>
      </c>
    </row>
    <row r="862" spans="1:2" ht="16.5" customHeight="1">
      <c r="A862" s="318">
        <v>8370</v>
      </c>
      <c r="B862" s="322" t="s">
        <v>98</v>
      </c>
    </row>
    <row r="863" spans="1:2" ht="16.5" customHeight="1">
      <c r="A863" s="317">
        <v>8391</v>
      </c>
      <c r="B863" s="319" t="s">
        <v>31</v>
      </c>
    </row>
    <row r="864" spans="1:2" ht="16.5" customHeight="1">
      <c r="A864" s="317">
        <v>8400</v>
      </c>
      <c r="B864" s="319" t="s">
        <v>98</v>
      </c>
    </row>
    <row r="865" spans="1:2" ht="16.5" customHeight="1">
      <c r="A865" s="317">
        <v>8450</v>
      </c>
      <c r="B865" s="319" t="s">
        <v>31</v>
      </c>
    </row>
    <row r="866" spans="1:2" ht="16.5" customHeight="1">
      <c r="A866" s="317">
        <v>8451</v>
      </c>
      <c r="B866" s="319" t="s">
        <v>31</v>
      </c>
    </row>
    <row r="867" spans="1:2" ht="16.5" customHeight="1">
      <c r="A867" s="318">
        <v>8452</v>
      </c>
      <c r="B867" s="318" t="s">
        <v>31</v>
      </c>
    </row>
    <row r="868" spans="1:2" ht="16.5" customHeight="1">
      <c r="A868" s="318">
        <v>8526</v>
      </c>
      <c r="B868" s="322" t="s">
        <v>98</v>
      </c>
    </row>
    <row r="869" spans="1:2" ht="16.5" customHeight="1">
      <c r="A869" s="318">
        <v>8676</v>
      </c>
      <c r="B869" s="322" t="s">
        <v>129</v>
      </c>
    </row>
    <row r="870" spans="1:2" ht="16.5" customHeight="1">
      <c r="A870" s="318">
        <v>8678</v>
      </c>
      <c r="B870" s="318" t="s">
        <v>129</v>
      </c>
    </row>
    <row r="871" spans="1:2" ht="16.5" customHeight="1">
      <c r="A871" s="318">
        <v>8713</v>
      </c>
      <c r="B871" s="318" t="s">
        <v>98</v>
      </c>
    </row>
    <row r="872" spans="1:2" ht="16.5" customHeight="1">
      <c r="A872" s="318">
        <v>8714</v>
      </c>
      <c r="B872" s="322" t="s">
        <v>98</v>
      </c>
    </row>
    <row r="873" spans="1:2" ht="16.5" customHeight="1">
      <c r="A873" s="318">
        <v>8717</v>
      </c>
      <c r="B873" s="322" t="s">
        <v>98</v>
      </c>
    </row>
    <row r="874" spans="1:2" ht="16.5" customHeight="1">
      <c r="A874" s="318">
        <v>8718</v>
      </c>
      <c r="B874" s="321" t="s">
        <v>98</v>
      </c>
    </row>
    <row r="875" spans="1:2" ht="16.5" customHeight="1">
      <c r="A875" s="318">
        <v>8719</v>
      </c>
      <c r="B875" s="322" t="s">
        <v>98</v>
      </c>
    </row>
    <row r="876" spans="1:2" ht="16.5" customHeight="1">
      <c r="A876" s="318">
        <v>8760</v>
      </c>
      <c r="B876" s="322" t="s">
        <v>98</v>
      </c>
    </row>
    <row r="877" spans="1:2" ht="16.5" customHeight="1">
      <c r="A877" s="318">
        <v>8761</v>
      </c>
      <c r="B877" s="322" t="s">
        <v>98</v>
      </c>
    </row>
    <row r="878" spans="1:2" ht="16.5" customHeight="1">
      <c r="A878" s="317">
        <v>8918</v>
      </c>
      <c r="B878" s="317" t="s">
        <v>125</v>
      </c>
    </row>
    <row r="879" spans="1:2" ht="16.5" customHeight="1">
      <c r="A879" s="317">
        <v>8950</v>
      </c>
      <c r="B879" s="317" t="s">
        <v>130</v>
      </c>
    </row>
    <row r="880" spans="1:2" ht="16.5" customHeight="1">
      <c r="A880" s="317">
        <v>8951</v>
      </c>
      <c r="B880" s="317" t="s">
        <v>130</v>
      </c>
    </row>
    <row r="881" spans="1:2" ht="16.5" customHeight="1">
      <c r="A881" s="318">
        <v>8952</v>
      </c>
      <c r="B881" s="321" t="s">
        <v>130</v>
      </c>
    </row>
    <row r="882" spans="1:2" ht="16.5" customHeight="1">
      <c r="A882" s="318">
        <v>8984</v>
      </c>
      <c r="B882" s="318" t="s">
        <v>98</v>
      </c>
    </row>
    <row r="883" spans="1:2" ht="16.5" customHeight="1">
      <c r="A883" s="317">
        <v>9874</v>
      </c>
      <c r="B883" s="317" t="s">
        <v>98</v>
      </c>
    </row>
    <row r="884" spans="1:2" ht="16.5" customHeight="1">
      <c r="A884" s="318">
        <v>9878</v>
      </c>
      <c r="B884" s="318" t="s">
        <v>98</v>
      </c>
    </row>
    <row r="885" spans="1:2" ht="16.5" customHeight="1">
      <c r="A885" s="318">
        <v>9879</v>
      </c>
      <c r="B885" s="321" t="s">
        <v>98</v>
      </c>
    </row>
    <row r="886" spans="1:2" ht="16.5" customHeight="1">
      <c r="A886" s="317">
        <v>9880</v>
      </c>
      <c r="B886" s="317" t="s">
        <v>129</v>
      </c>
    </row>
    <row r="887" spans="1:2" ht="16.5" customHeight="1">
      <c r="A887" s="317">
        <v>9925</v>
      </c>
      <c r="B887" s="317" t="s">
        <v>125</v>
      </c>
    </row>
    <row r="888" spans="1:2" ht="16.5" customHeight="1">
      <c r="A888" s="317">
        <v>9928</v>
      </c>
      <c r="B888" s="319" t="s">
        <v>125</v>
      </c>
    </row>
    <row r="889" spans="1:2" ht="16.5" customHeight="1">
      <c r="A889" s="317">
        <v>280168</v>
      </c>
      <c r="B889" s="319" t="s">
        <v>31</v>
      </c>
    </row>
    <row r="890" spans="1:2" ht="16.5" customHeight="1">
      <c r="A890" s="317">
        <v>7716</v>
      </c>
      <c r="B890" s="317" t="s">
        <v>125</v>
      </c>
    </row>
    <row r="891" spans="1:2" ht="16.5" customHeight="1">
      <c r="A891" s="317">
        <v>3288</v>
      </c>
      <c r="B891" s="317" t="s">
        <v>98</v>
      </c>
    </row>
    <row r="892" spans="1:2" ht="16.5" customHeight="1">
      <c r="A892" s="317">
        <v>3289</v>
      </c>
      <c r="B892" s="317" t="s">
        <v>98</v>
      </c>
    </row>
    <row r="893" spans="1:2" ht="16.5" customHeight="1">
      <c r="A893" s="317">
        <v>57188</v>
      </c>
      <c r="B893" s="317" t="s">
        <v>30</v>
      </c>
    </row>
    <row r="894" spans="1:2" ht="16.5" customHeight="1">
      <c r="A894" s="317">
        <v>58337</v>
      </c>
      <c r="B894" s="317" t="s">
        <v>30</v>
      </c>
    </row>
    <row r="895" spans="1:2" ht="16.5" customHeight="1">
      <c r="A895" s="317">
        <v>59561</v>
      </c>
      <c r="B895" s="317" t="s">
        <v>98</v>
      </c>
    </row>
    <row r="896" spans="1:2" ht="16.5" customHeight="1">
      <c r="A896" s="317">
        <v>59603</v>
      </c>
      <c r="B896" s="317" t="s">
        <v>30</v>
      </c>
    </row>
    <row r="897" spans="1:2" ht="16.5" customHeight="1">
      <c r="A897" s="317">
        <v>59632</v>
      </c>
      <c r="B897" s="317" t="s">
        <v>98</v>
      </c>
    </row>
    <row r="898" spans="1:2" ht="16.5" customHeight="1">
      <c r="A898" s="317">
        <v>59817</v>
      </c>
      <c r="B898" s="317" t="s">
        <v>129</v>
      </c>
    </row>
    <row r="899" spans="1:2" ht="16.5" customHeight="1">
      <c r="A899" s="317">
        <v>59818</v>
      </c>
      <c r="B899" s="317" t="s">
        <v>129</v>
      </c>
    </row>
    <row r="900" spans="1:2" ht="16.5" customHeight="1">
      <c r="A900" s="317">
        <v>60073</v>
      </c>
      <c r="B900" s="317" t="s">
        <v>129</v>
      </c>
    </row>
    <row r="901" spans="1:2" ht="16.5" customHeight="1">
      <c r="A901" s="317">
        <v>60154</v>
      </c>
      <c r="B901" s="317" t="s">
        <v>125</v>
      </c>
    </row>
    <row r="902" spans="1:2" ht="16.5" customHeight="1">
      <c r="A902" s="324">
        <v>60272</v>
      </c>
      <c r="B902" s="324" t="s">
        <v>30</v>
      </c>
    </row>
    <row r="903" spans="1:2" ht="16.5" customHeight="1">
      <c r="A903" s="324">
        <v>60155</v>
      </c>
      <c r="B903" s="324" t="s">
        <v>125</v>
      </c>
    </row>
    <row r="904" spans="1:2" ht="16.5" customHeight="1">
      <c r="A904" s="324">
        <v>60491</v>
      </c>
      <c r="B904" s="324" t="s">
        <v>125</v>
      </c>
    </row>
    <row r="905" spans="1:2" ht="16.5" customHeight="1">
      <c r="A905" s="324">
        <v>169241</v>
      </c>
      <c r="B905" s="324" t="s">
        <v>30</v>
      </c>
    </row>
    <row r="906" spans="1:2" ht="16.5" customHeight="1">
      <c r="A906" s="324">
        <v>169280</v>
      </c>
      <c r="B906" s="324" t="s">
        <v>30</v>
      </c>
    </row>
    <row r="907" spans="1:2" ht="16.5" customHeight="1">
      <c r="A907" s="324">
        <v>2835</v>
      </c>
      <c r="B907" s="324" t="s">
        <v>130</v>
      </c>
    </row>
    <row r="908" spans="1:2" ht="16.5" customHeight="1">
      <c r="A908" s="324">
        <v>2834</v>
      </c>
      <c r="B908" s="324" t="s">
        <v>130</v>
      </c>
    </row>
    <row r="909" spans="1:2" ht="16.5" customHeight="1">
      <c r="A909" s="325">
        <v>2882</v>
      </c>
      <c r="B909" s="325" t="s">
        <v>98</v>
      </c>
    </row>
    <row r="910" spans="1:2" ht="16.5" customHeight="1">
      <c r="A910" s="325">
        <v>2834</v>
      </c>
      <c r="B910" s="325" t="s">
        <v>130</v>
      </c>
    </row>
    <row r="911" spans="1:2" ht="16.5" customHeight="1">
      <c r="A911" s="325">
        <v>2882</v>
      </c>
      <c r="B911" s="325" t="s">
        <v>98</v>
      </c>
    </row>
    <row r="912" spans="1:2" ht="16.5" customHeight="1">
      <c r="A912" s="325">
        <v>169240</v>
      </c>
      <c r="B912" s="325" t="s">
        <v>30</v>
      </c>
    </row>
    <row r="913" spans="1:2" ht="16.5" customHeight="1">
      <c r="A913" s="325">
        <v>113303</v>
      </c>
      <c r="B913" s="325" t="s">
        <v>125</v>
      </c>
    </row>
    <row r="914" spans="1:2" ht="16.5" customHeight="1">
      <c r="A914" s="325">
        <v>169260</v>
      </c>
      <c r="B914" s="325" t="s">
        <v>30</v>
      </c>
    </row>
    <row r="915" spans="1:2" ht="16.5" customHeight="1">
      <c r="A915" s="325">
        <v>168130</v>
      </c>
      <c r="B915" s="325" t="s">
        <v>125</v>
      </c>
    </row>
    <row r="916" spans="1:2" ht="16.5" customHeight="1">
      <c r="A916" s="325">
        <v>200320</v>
      </c>
      <c r="B916" s="325" t="s">
        <v>98</v>
      </c>
    </row>
    <row r="917" spans="1:2" ht="16.5" customHeight="1">
      <c r="A917" s="325">
        <v>200321</v>
      </c>
      <c r="B917" s="325" t="s">
        <v>98</v>
      </c>
    </row>
    <row r="918" spans="1:2" ht="16.5" customHeight="1">
      <c r="A918" s="325">
        <v>2910</v>
      </c>
      <c r="B918" s="325" t="s">
        <v>31</v>
      </c>
    </row>
    <row r="919" spans="1:2" ht="16.5" customHeight="1">
      <c r="A919" s="325">
        <v>112022</v>
      </c>
      <c r="B919" s="325" t="s">
        <v>129</v>
      </c>
    </row>
    <row r="920" spans="1:2" ht="16.5" customHeight="1">
      <c r="A920" s="325">
        <v>113304</v>
      </c>
      <c r="B920" s="325" t="s">
        <v>129</v>
      </c>
    </row>
    <row r="921" spans="1:2" ht="16.5" customHeight="1">
      <c r="A921" s="325">
        <v>114216</v>
      </c>
      <c r="B921" s="326" t="s">
        <v>130</v>
      </c>
    </row>
    <row r="922" spans="1:2" ht="16.5" customHeight="1">
      <c r="A922" s="325">
        <v>90456</v>
      </c>
      <c r="B922" s="326" t="s">
        <v>130</v>
      </c>
    </row>
    <row r="923" spans="1:2" ht="16.5" customHeight="1">
      <c r="A923" s="325">
        <v>42404</v>
      </c>
      <c r="B923" s="326" t="s">
        <v>31</v>
      </c>
    </row>
    <row r="924" spans="1:2" ht="16.5" customHeight="1">
      <c r="A924" s="325">
        <v>42422</v>
      </c>
      <c r="B924" s="325" t="s">
        <v>31</v>
      </c>
    </row>
    <row r="925" spans="1:2" ht="16.5" customHeight="1">
      <c r="A925" s="325">
        <v>94012</v>
      </c>
      <c r="B925" s="325" t="s">
        <v>98</v>
      </c>
    </row>
    <row r="926" spans="1:2" ht="16.5" customHeight="1">
      <c r="A926" s="325">
        <v>94013</v>
      </c>
      <c r="B926" s="325" t="s">
        <v>98</v>
      </c>
    </row>
    <row r="927" spans="1:2" ht="16.5" customHeight="1">
      <c r="A927" s="325">
        <v>12525</v>
      </c>
      <c r="B927" s="325" t="s">
        <v>98</v>
      </c>
    </row>
    <row r="928" spans="1:2" ht="16.5" customHeight="1">
      <c r="A928" s="325">
        <v>90481</v>
      </c>
      <c r="B928" s="325" t="s">
        <v>130</v>
      </c>
    </row>
    <row r="929" spans="1:2" ht="16.5" customHeight="1">
      <c r="A929" s="325">
        <v>90482</v>
      </c>
      <c r="B929" s="325" t="s">
        <v>130</v>
      </c>
    </row>
    <row r="930" spans="1:2" ht="16.5" customHeight="1">
      <c r="A930" s="325">
        <v>6650</v>
      </c>
      <c r="B930" s="325" t="s">
        <v>31</v>
      </c>
    </row>
    <row r="931" spans="1:2" ht="16.5" customHeight="1">
      <c r="A931" s="325">
        <v>3239</v>
      </c>
      <c r="B931" s="325" t="s">
        <v>30</v>
      </c>
    </row>
    <row r="932" spans="1:2" ht="16.5" customHeight="1">
      <c r="A932" s="325">
        <v>8047</v>
      </c>
      <c r="B932" s="325" t="s">
        <v>98</v>
      </c>
    </row>
    <row r="933" spans="1:2" ht="16.5" customHeight="1">
      <c r="A933" s="325">
        <v>8049</v>
      </c>
      <c r="B933" s="325" t="s">
        <v>98</v>
      </c>
    </row>
    <row r="934" spans="1:2" ht="16.5" customHeight="1">
      <c r="A934" s="325">
        <v>8048</v>
      </c>
      <c r="B934" s="325" t="s">
        <v>98</v>
      </c>
    </row>
    <row r="935" spans="1:2" ht="16.5" customHeight="1">
      <c r="A935" s="325">
        <v>8054</v>
      </c>
      <c r="B935" s="325" t="s">
        <v>98</v>
      </c>
    </row>
    <row r="936" spans="1:2" ht="16.5" customHeight="1">
      <c r="A936" s="327">
        <v>8052</v>
      </c>
      <c r="B936" s="325" t="s">
        <v>98</v>
      </c>
    </row>
    <row r="937" spans="1:2" ht="16.5" customHeight="1">
      <c r="A937" s="327">
        <v>9189</v>
      </c>
      <c r="B937" s="325" t="s">
        <v>31</v>
      </c>
    </row>
    <row r="938" spans="1:2" ht="16.5" customHeight="1">
      <c r="A938" s="327" t="s">
        <v>431</v>
      </c>
      <c r="B938" s="325" t="s">
        <v>432</v>
      </c>
    </row>
    <row r="939" spans="1:2" ht="16.5" customHeight="1">
      <c r="A939" s="327" t="s">
        <v>433</v>
      </c>
      <c r="B939" s="325" t="s">
        <v>128</v>
      </c>
    </row>
    <row r="940" spans="1:2" ht="16.5" customHeight="1">
      <c r="A940" s="327" t="s">
        <v>434</v>
      </c>
      <c r="B940" s="325" t="s">
        <v>125</v>
      </c>
    </row>
    <row r="941" spans="1:2" ht="16.5" customHeight="1">
      <c r="A941" s="327">
        <v>60368</v>
      </c>
      <c r="B941" s="325" t="s">
        <v>125</v>
      </c>
    </row>
    <row r="942" spans="1:2" ht="16.5" customHeight="1">
      <c r="A942" s="327">
        <v>12616</v>
      </c>
      <c r="B942" s="325" t="s">
        <v>125</v>
      </c>
    </row>
    <row r="943" spans="1:2" ht="16.5" customHeight="1">
      <c r="A943" s="327">
        <v>12503</v>
      </c>
      <c r="B943" s="325" t="s">
        <v>98</v>
      </c>
    </row>
    <row r="944" spans="1:2" ht="16.5" customHeight="1">
      <c r="A944" s="327">
        <v>12570</v>
      </c>
      <c r="B944" s="325" t="s">
        <v>125</v>
      </c>
    </row>
    <row r="945" spans="1:2" ht="16.5" customHeight="1">
      <c r="A945" s="327">
        <v>12502</v>
      </c>
      <c r="B945" s="325" t="s">
        <v>129</v>
      </c>
    </row>
    <row r="946" spans="1:2" ht="16.5" customHeight="1">
      <c r="A946" s="327">
        <v>3195</v>
      </c>
      <c r="B946" s="325" t="s">
        <v>31</v>
      </c>
    </row>
    <row r="947" spans="1:2" ht="16.5" customHeight="1">
      <c r="A947" s="327">
        <v>2799</v>
      </c>
      <c r="B947" s="325" t="s">
        <v>30</v>
      </c>
    </row>
    <row r="948" spans="1:2" ht="16.5" customHeight="1">
      <c r="A948" s="327">
        <v>12566</v>
      </c>
      <c r="B948" s="325" t="s">
        <v>129</v>
      </c>
    </row>
    <row r="949" spans="1:2" ht="16.5" customHeight="1">
      <c r="A949" s="327">
        <v>3024</v>
      </c>
      <c r="B949" s="325" t="s">
        <v>30</v>
      </c>
    </row>
    <row r="950" spans="1:2" ht="16.5" customHeight="1">
      <c r="A950" s="327">
        <v>8053</v>
      </c>
      <c r="B950" s="325" t="s">
        <v>98</v>
      </c>
    </row>
    <row r="951" spans="1:2" ht="16.5" customHeight="1">
      <c r="A951" s="327">
        <v>8054</v>
      </c>
      <c r="B951" s="325" t="s">
        <v>98</v>
      </c>
    </row>
    <row r="952" spans="1:2" ht="16.5" customHeight="1">
      <c r="A952" s="327" t="s">
        <v>435</v>
      </c>
      <c r="B952" s="325" t="s">
        <v>129</v>
      </c>
    </row>
    <row r="953" spans="1:2" ht="16.5" customHeight="1">
      <c r="A953" s="327" t="s">
        <v>436</v>
      </c>
      <c r="B953" s="325" t="s">
        <v>31</v>
      </c>
    </row>
    <row r="954" spans="1:2" ht="16.5" customHeight="1">
      <c r="A954" s="327" t="s">
        <v>437</v>
      </c>
      <c r="B954" s="325" t="s">
        <v>125</v>
      </c>
    </row>
    <row r="955" spans="1:2" ht="16.5" customHeight="1">
      <c r="A955" s="325" t="s">
        <v>438</v>
      </c>
      <c r="B955" s="325" t="s">
        <v>130</v>
      </c>
    </row>
    <row r="956" spans="1:2" ht="16.5" customHeight="1">
      <c r="A956" s="327" t="s">
        <v>439</v>
      </c>
      <c r="B956" s="325" t="s">
        <v>130</v>
      </c>
    </row>
    <row r="957" spans="1:2" ht="16.5" customHeight="1">
      <c r="A957" s="325" t="s">
        <v>440</v>
      </c>
      <c r="B957" s="325" t="s">
        <v>130</v>
      </c>
    </row>
    <row r="958" spans="1:2" ht="16.5" customHeight="1">
      <c r="A958" s="325" t="s">
        <v>441</v>
      </c>
      <c r="B958" s="325" t="s">
        <v>125</v>
      </c>
    </row>
    <row r="959" spans="1:2" ht="16.5" customHeight="1">
      <c r="A959" s="325">
        <v>8050</v>
      </c>
      <c r="B959" s="325" t="s">
        <v>98</v>
      </c>
    </row>
    <row r="960" spans="1:2" ht="16.5" customHeight="1">
      <c r="A960" s="325">
        <v>12571</v>
      </c>
      <c r="B960" s="325" t="s">
        <v>129</v>
      </c>
    </row>
    <row r="961" spans="1:2" ht="16.5" customHeight="1">
      <c r="A961" s="325" t="s">
        <v>442</v>
      </c>
      <c r="B961" s="325" t="s">
        <v>125</v>
      </c>
    </row>
    <row r="962" spans="1:2" ht="16.5" customHeight="1">
      <c r="A962" s="325">
        <v>8051</v>
      </c>
      <c r="B962" s="325" t="s">
        <v>98</v>
      </c>
    </row>
    <row r="963" spans="1:2" ht="16.5" customHeight="1">
      <c r="A963" s="325">
        <v>90461</v>
      </c>
      <c r="B963" s="325" t="s">
        <v>130</v>
      </c>
    </row>
    <row r="964" spans="1:2" ht="16.5" customHeight="1">
      <c r="A964" s="325">
        <v>3179</v>
      </c>
      <c r="B964" s="325" t="s">
        <v>31</v>
      </c>
    </row>
    <row r="965" spans="1:2" ht="16.5" customHeight="1">
      <c r="A965" s="325">
        <v>8055</v>
      </c>
      <c r="B965" s="325" t="s">
        <v>98</v>
      </c>
    </row>
    <row r="966" spans="1:2" ht="16.5" customHeight="1">
      <c r="A966" s="325">
        <v>12573</v>
      </c>
      <c r="B966" s="325" t="s">
        <v>30</v>
      </c>
    </row>
    <row r="967" spans="1:2" ht="16.5" customHeight="1">
      <c r="A967" s="325">
        <v>4326</v>
      </c>
      <c r="B967" s="325" t="s">
        <v>31</v>
      </c>
    </row>
    <row r="968" spans="1:2" ht="16.5" customHeight="1">
      <c r="A968" s="325" t="s">
        <v>443</v>
      </c>
      <c r="B968" s="325" t="s">
        <v>130</v>
      </c>
    </row>
    <row r="969" spans="1:2" ht="16.5" customHeight="1">
      <c r="A969" s="325" t="s">
        <v>444</v>
      </c>
      <c r="B969" s="325" t="s">
        <v>130</v>
      </c>
    </row>
    <row r="970" spans="1:2" ht="16.5" customHeight="1">
      <c r="A970" s="325" t="s">
        <v>445</v>
      </c>
      <c r="B970" s="325" t="s">
        <v>129</v>
      </c>
    </row>
    <row r="971" spans="1:2" ht="16.5" customHeight="1">
      <c r="A971" s="325">
        <v>5326</v>
      </c>
      <c r="B971" s="325" t="s">
        <v>31</v>
      </c>
    </row>
    <row r="972" spans="1:2" ht="16.5" customHeight="1">
      <c r="A972" s="325">
        <v>6552</v>
      </c>
      <c r="B972" s="325" t="s">
        <v>31</v>
      </c>
    </row>
    <row r="973" spans="1:2" ht="16.5" customHeight="1">
      <c r="A973" s="325">
        <v>3254</v>
      </c>
      <c r="B973" s="325" t="s">
        <v>31</v>
      </c>
    </row>
    <row r="974" spans="1:2" ht="16.5" customHeight="1">
      <c r="A974" s="325">
        <v>8174</v>
      </c>
      <c r="B974" s="325" t="s">
        <v>128</v>
      </c>
    </row>
    <row r="975" spans="1:2" ht="16.5" customHeight="1">
      <c r="A975" s="325">
        <v>50010</v>
      </c>
      <c r="B975" s="325" t="s">
        <v>98</v>
      </c>
    </row>
    <row r="976" spans="1:2" ht="16.5" customHeight="1">
      <c r="A976" s="325">
        <v>57100</v>
      </c>
      <c r="B976" s="325" t="s">
        <v>98</v>
      </c>
    </row>
    <row r="977" spans="1:2" ht="16.5" customHeight="1">
      <c r="A977" s="328">
        <v>96600</v>
      </c>
      <c r="B977" s="325" t="s">
        <v>98</v>
      </c>
    </row>
    <row r="978" spans="1:2" ht="16.5" customHeight="1">
      <c r="A978" s="325">
        <v>96604</v>
      </c>
      <c r="B978" s="325" t="s">
        <v>98</v>
      </c>
    </row>
    <row r="979" spans="1:2" ht="16.5" customHeight="1">
      <c r="A979" s="325">
        <v>90452</v>
      </c>
      <c r="B979" s="325" t="s">
        <v>130</v>
      </c>
    </row>
    <row r="980" spans="1:2" ht="16.5" customHeight="1">
      <c r="A980" s="328">
        <v>90457</v>
      </c>
      <c r="B980" s="325" t="s">
        <v>130</v>
      </c>
    </row>
    <row r="981" spans="1:2" ht="16.5" customHeight="1">
      <c r="A981" s="325">
        <v>90463</v>
      </c>
      <c r="B981" s="325" t="s">
        <v>130</v>
      </c>
    </row>
    <row r="982" spans="1:2" ht="16.5" customHeight="1">
      <c r="A982" s="325">
        <v>90466</v>
      </c>
      <c r="B982" s="325" t="s">
        <v>130</v>
      </c>
    </row>
    <row r="983" spans="1:2" ht="16.5" customHeight="1">
      <c r="A983" s="318">
        <v>90469</v>
      </c>
      <c r="B983" s="317" t="s">
        <v>130</v>
      </c>
    </row>
    <row r="984" spans="1:2" ht="16.5" customHeight="1">
      <c r="A984" s="318">
        <v>90470</v>
      </c>
      <c r="B984" s="317" t="s">
        <v>130</v>
      </c>
    </row>
    <row r="985" spans="1:2" ht="16.5" customHeight="1">
      <c r="A985" s="318">
        <v>90473</v>
      </c>
      <c r="B985" s="317" t="s">
        <v>130</v>
      </c>
    </row>
    <row r="986" spans="1:2" ht="16.5" customHeight="1">
      <c r="A986" s="318">
        <v>90476</v>
      </c>
      <c r="B986" s="317" t="s">
        <v>130</v>
      </c>
    </row>
    <row r="987" spans="1:2" ht="16.5" customHeight="1">
      <c r="A987" s="327">
        <v>8020</v>
      </c>
      <c r="B987" s="325" t="s">
        <v>98</v>
      </c>
    </row>
    <row r="988" spans="1:2" ht="16.5" customHeight="1">
      <c r="A988" s="327" t="s">
        <v>446</v>
      </c>
      <c r="B988" s="325" t="s">
        <v>130</v>
      </c>
    </row>
    <row r="989" spans="1:2" ht="16.5" customHeight="1">
      <c r="A989" s="317" t="s">
        <v>447</v>
      </c>
      <c r="B989" s="319" t="s">
        <v>130</v>
      </c>
    </row>
    <row r="990" spans="1:2" ht="16.5" customHeight="1">
      <c r="A990" s="317" t="s">
        <v>448</v>
      </c>
      <c r="B990" s="317" t="s">
        <v>130</v>
      </c>
    </row>
    <row r="991" spans="1:2" ht="16.5" customHeight="1">
      <c r="A991" s="317" t="s">
        <v>449</v>
      </c>
      <c r="B991" s="317" t="s">
        <v>98</v>
      </c>
    </row>
    <row r="992" spans="1:2" ht="16.5" customHeight="1">
      <c r="A992" s="317" t="s">
        <v>450</v>
      </c>
      <c r="B992" s="317" t="s">
        <v>125</v>
      </c>
    </row>
    <row r="993" spans="1:2" ht="16.5" customHeight="1">
      <c r="A993" s="317">
        <v>90453</v>
      </c>
      <c r="B993" s="317" t="s">
        <v>130</v>
      </c>
    </row>
    <row r="994" spans="1:2" ht="16.5" customHeight="1">
      <c r="A994" s="318">
        <v>60310</v>
      </c>
      <c r="B994" s="321" t="s">
        <v>30</v>
      </c>
    </row>
    <row r="995" spans="1:2" ht="16.5" customHeight="1">
      <c r="A995" s="318" t="s">
        <v>451</v>
      </c>
      <c r="B995" s="321" t="s">
        <v>30</v>
      </c>
    </row>
    <row r="996" spans="1:2" ht="16.5" customHeight="1">
      <c r="A996" s="327" t="s">
        <v>452</v>
      </c>
      <c r="B996" s="325" t="s">
        <v>30</v>
      </c>
    </row>
    <row r="997" spans="1:2" ht="16.5" customHeight="1">
      <c r="A997" s="325" t="s">
        <v>453</v>
      </c>
      <c r="B997" s="325" t="s">
        <v>30</v>
      </c>
    </row>
    <row r="998" spans="1:2" ht="16.5" customHeight="1">
      <c r="A998" s="325" t="s">
        <v>454</v>
      </c>
      <c r="B998" s="325" t="s">
        <v>98</v>
      </c>
    </row>
    <row r="999" spans="1:2" ht="16.5" customHeight="1">
      <c r="A999" s="325" t="s">
        <v>455</v>
      </c>
      <c r="B999" s="325" t="s">
        <v>30</v>
      </c>
    </row>
    <row r="1000" spans="1:2" ht="16.5" customHeight="1">
      <c r="A1000" s="325" t="s">
        <v>456</v>
      </c>
      <c r="B1000" s="325" t="s">
        <v>31</v>
      </c>
    </row>
    <row r="1001" spans="1:2" ht="16.5" customHeight="1">
      <c r="A1001" s="325">
        <v>2797</v>
      </c>
      <c r="B1001" s="325" t="s">
        <v>31</v>
      </c>
    </row>
    <row r="1002" spans="1:2" ht="16.5" customHeight="1">
      <c r="A1002" s="325" t="s">
        <v>457</v>
      </c>
      <c r="B1002" s="325" t="s">
        <v>31</v>
      </c>
    </row>
    <row r="1003" spans="1:2" ht="16.5" customHeight="1">
      <c r="A1003" s="329" t="s">
        <v>458</v>
      </c>
      <c r="B1003" s="329" t="s">
        <v>129</v>
      </c>
    </row>
    <row r="1004" spans="1:2" ht="16.5" customHeight="1">
      <c r="A1004" s="329" t="s">
        <v>459</v>
      </c>
      <c r="B1004" s="329" t="s">
        <v>129</v>
      </c>
    </row>
    <row r="1005" spans="1:2" ht="16.5" customHeight="1">
      <c r="A1005" s="329" t="s">
        <v>460</v>
      </c>
      <c r="B1005" s="329" t="s">
        <v>129</v>
      </c>
    </row>
    <row r="1006" spans="1:2" ht="16.5" customHeight="1">
      <c r="A1006" s="329">
        <v>161112</v>
      </c>
      <c r="B1006" s="329" t="s">
        <v>129</v>
      </c>
    </row>
    <row r="1007" spans="1:2" ht="16.5" customHeight="1">
      <c r="A1007" s="329">
        <v>402027</v>
      </c>
      <c r="B1007" s="329" t="s">
        <v>133</v>
      </c>
    </row>
    <row r="1008" spans="1:2" ht="16.5" customHeight="1">
      <c r="A1008" s="327" t="s">
        <v>461</v>
      </c>
      <c r="B1008" s="325" t="s">
        <v>30</v>
      </c>
    </row>
    <row r="1009" spans="1:2" ht="16.5" customHeight="1">
      <c r="A1009" s="327" t="s">
        <v>462</v>
      </c>
      <c r="B1009" s="325" t="s">
        <v>98</v>
      </c>
    </row>
    <row r="1010" spans="1:2" ht="16.5" customHeight="1">
      <c r="A1010" s="327" t="s">
        <v>463</v>
      </c>
      <c r="B1010" s="325" t="s">
        <v>98</v>
      </c>
    </row>
    <row r="1011" spans="1:2" ht="16.5" customHeight="1">
      <c r="A1011" s="327">
        <v>13508</v>
      </c>
      <c r="B1011" s="325" t="s">
        <v>129</v>
      </c>
    </row>
    <row r="1012" spans="1:2" ht="16.5" customHeight="1">
      <c r="A1012" s="327">
        <v>8755</v>
      </c>
      <c r="B1012" s="325" t="s">
        <v>98</v>
      </c>
    </row>
    <row r="1013" spans="1:2" ht="16.5" customHeight="1">
      <c r="A1013" s="327">
        <v>3138</v>
      </c>
      <c r="B1013" s="325" t="s">
        <v>31</v>
      </c>
    </row>
    <row r="1014" spans="1:2" ht="16.5" customHeight="1">
      <c r="A1014" s="327">
        <v>3139</v>
      </c>
      <c r="B1014" s="325" t="s">
        <v>31</v>
      </c>
    </row>
    <row r="1015" spans="1:2" ht="16.5" customHeight="1">
      <c r="A1015" s="327">
        <v>75000</v>
      </c>
      <c r="B1015" s="325" t="s">
        <v>98</v>
      </c>
    </row>
    <row r="1016" spans="1:2" ht="16.5" customHeight="1">
      <c r="A1016" s="329">
        <v>73000</v>
      </c>
      <c r="B1016" s="329" t="s">
        <v>98</v>
      </c>
    </row>
    <row r="1017" spans="1:2" ht="16.5" customHeight="1">
      <c r="A1017" s="329">
        <v>58328</v>
      </c>
      <c r="B1017" s="329" t="s">
        <v>30</v>
      </c>
    </row>
    <row r="1018" spans="1:2" ht="16.5" customHeight="1">
      <c r="A1018" s="317">
        <v>58319</v>
      </c>
      <c r="B1018" s="317" t="s">
        <v>30</v>
      </c>
    </row>
    <row r="1019" spans="1:2" ht="16.5" customHeight="1">
      <c r="A1019" s="318">
        <v>4329</v>
      </c>
      <c r="B1019" s="318" t="s">
        <v>31</v>
      </c>
    </row>
    <row r="1020" spans="1:2" ht="16.5" customHeight="1">
      <c r="A1020" s="318" t="s">
        <v>464</v>
      </c>
      <c r="B1020" s="318" t="s">
        <v>31</v>
      </c>
    </row>
    <row r="1021" spans="1:2" ht="16.5" customHeight="1">
      <c r="A1021" s="327">
        <v>2954</v>
      </c>
      <c r="B1021" s="325" t="s">
        <v>30</v>
      </c>
    </row>
    <row r="1022" spans="1:2" ht="16.5" customHeight="1">
      <c r="A1022" s="327">
        <v>8911</v>
      </c>
      <c r="B1022" s="325" t="s">
        <v>98</v>
      </c>
    </row>
    <row r="1023" spans="1:2" ht="16.5" customHeight="1">
      <c r="A1023" s="327">
        <v>8913</v>
      </c>
      <c r="B1023" s="325" t="s">
        <v>98</v>
      </c>
    </row>
    <row r="1024" spans="1:2" ht="16.5" customHeight="1">
      <c r="A1024" s="327">
        <v>7069</v>
      </c>
      <c r="B1024" s="325" t="s">
        <v>125</v>
      </c>
    </row>
    <row r="1025" spans="1:2" ht="16.5" customHeight="1">
      <c r="A1025" s="327">
        <v>35105</v>
      </c>
      <c r="B1025" s="325" t="s">
        <v>125</v>
      </c>
    </row>
    <row r="1026" spans="1:2" ht="16.5" customHeight="1">
      <c r="A1026" s="327">
        <v>37002</v>
      </c>
      <c r="B1026" s="325" t="s">
        <v>130</v>
      </c>
    </row>
    <row r="1027" spans="1:2" ht="16.5" customHeight="1">
      <c r="A1027" s="327">
        <v>37003</v>
      </c>
      <c r="B1027" s="325" t="s">
        <v>130</v>
      </c>
    </row>
    <row r="1028" spans="1:2" ht="16.5" customHeight="1">
      <c r="A1028" s="327">
        <v>37004</v>
      </c>
      <c r="B1028" s="325" t="s">
        <v>130</v>
      </c>
    </row>
    <row r="1029" spans="1:2" ht="16.5" customHeight="1">
      <c r="A1029" s="327">
        <v>37005</v>
      </c>
      <c r="B1029" s="325" t="s">
        <v>130</v>
      </c>
    </row>
    <row r="1030" spans="1:2" ht="16.5" customHeight="1">
      <c r="A1030" s="327">
        <v>37008</v>
      </c>
      <c r="B1030" s="325" t="s">
        <v>130</v>
      </c>
    </row>
    <row r="1031" spans="1:2" ht="16.5" customHeight="1">
      <c r="A1031" s="327" t="s">
        <v>465</v>
      </c>
      <c r="B1031" s="325" t="s">
        <v>30</v>
      </c>
    </row>
    <row r="1032" spans="1:2" ht="16.5" customHeight="1">
      <c r="A1032" s="327" t="s">
        <v>466</v>
      </c>
      <c r="B1032" s="330" t="s">
        <v>467</v>
      </c>
    </row>
    <row r="1033" spans="1:2" ht="16.5" customHeight="1">
      <c r="A1033" s="318" t="s">
        <v>468</v>
      </c>
      <c r="B1033" s="321" t="s">
        <v>30</v>
      </c>
    </row>
    <row r="1034" spans="1:2" ht="16.5" customHeight="1">
      <c r="A1034" s="327" t="s">
        <v>469</v>
      </c>
      <c r="B1034" s="325" t="s">
        <v>130</v>
      </c>
    </row>
    <row r="1035" spans="1:2" ht="16.5" customHeight="1">
      <c r="A1035" s="327" t="s">
        <v>470</v>
      </c>
      <c r="B1035" s="325" t="s">
        <v>130</v>
      </c>
    </row>
    <row r="1036" spans="1:2" ht="16.5" customHeight="1">
      <c r="A1036" s="317" t="s">
        <v>471</v>
      </c>
      <c r="B1036" s="317" t="s">
        <v>130</v>
      </c>
    </row>
    <row r="1037" spans="1:2" ht="16.5" customHeight="1">
      <c r="A1037" s="327" t="s">
        <v>472</v>
      </c>
      <c r="B1037" s="325" t="s">
        <v>31</v>
      </c>
    </row>
    <row r="1038" spans="1:2" ht="16.5" customHeight="1">
      <c r="A1038" s="327" t="s">
        <v>473</v>
      </c>
      <c r="B1038" s="325" t="s">
        <v>98</v>
      </c>
    </row>
    <row r="1039" spans="1:2" ht="16.5" customHeight="1">
      <c r="A1039" s="331" t="s">
        <v>474</v>
      </c>
      <c r="B1039" s="332" t="s">
        <v>98</v>
      </c>
    </row>
    <row r="1040" spans="1:2" ht="16.5" customHeight="1">
      <c r="A1040" s="327">
        <v>3206</v>
      </c>
      <c r="B1040" s="325" t="s">
        <v>129</v>
      </c>
    </row>
    <row r="1041" spans="1:2" ht="16.5" customHeight="1">
      <c r="A1041" s="327">
        <v>17800</v>
      </c>
      <c r="B1041" s="325" t="s">
        <v>130</v>
      </c>
    </row>
    <row r="1042" spans="1:2" ht="16.5" customHeight="1">
      <c r="A1042" s="327">
        <v>17809</v>
      </c>
      <c r="B1042" s="325" t="s">
        <v>129</v>
      </c>
    </row>
    <row r="1043" spans="1:2" ht="16.5" customHeight="1">
      <c r="A1043" s="317">
        <v>17859</v>
      </c>
      <c r="B1043" s="317" t="s">
        <v>130</v>
      </c>
    </row>
    <row r="1044" spans="1:2" ht="16.5" customHeight="1">
      <c r="A1044" s="327">
        <v>17862</v>
      </c>
      <c r="B1044" s="325" t="s">
        <v>129</v>
      </c>
    </row>
    <row r="1045" spans="1:2" ht="16.5" customHeight="1">
      <c r="A1045" s="318">
        <v>45306</v>
      </c>
      <c r="B1045" s="321" t="s">
        <v>130</v>
      </c>
    </row>
    <row r="1046" spans="1:2" ht="16.5" customHeight="1">
      <c r="A1046" s="318">
        <v>55880</v>
      </c>
      <c r="B1046" s="318" t="s">
        <v>129</v>
      </c>
    </row>
    <row r="1047" spans="1:2" ht="16.5" customHeight="1">
      <c r="A1047" s="318">
        <v>2884</v>
      </c>
      <c r="B1047" s="318" t="s">
        <v>30</v>
      </c>
    </row>
    <row r="1048" spans="1:2" ht="16.5" customHeight="1">
      <c r="A1048" s="318">
        <v>93031</v>
      </c>
      <c r="B1048" s="318" t="s">
        <v>30</v>
      </c>
    </row>
    <row r="1049" spans="1:2" ht="16.5" customHeight="1">
      <c r="A1049" s="318" t="s">
        <v>475</v>
      </c>
      <c r="B1049" s="318" t="s">
        <v>129</v>
      </c>
    </row>
    <row r="1050" spans="1:2" ht="16.5" customHeight="1">
      <c r="A1050" s="318">
        <v>8400</v>
      </c>
      <c r="B1050" s="318" t="s">
        <v>98</v>
      </c>
    </row>
    <row r="1051" spans="1:2" ht="16.5" customHeight="1">
      <c r="A1051" s="327">
        <v>3986</v>
      </c>
      <c r="B1051" s="325" t="s">
        <v>98</v>
      </c>
    </row>
    <row r="1052" spans="1:2" ht="16.5" customHeight="1">
      <c r="A1052" s="333">
        <v>3987</v>
      </c>
      <c r="B1052" s="318" t="s">
        <v>98</v>
      </c>
    </row>
    <row r="1053" spans="1:2" ht="16.5" customHeight="1">
      <c r="A1053" s="318">
        <v>3988</v>
      </c>
      <c r="B1053" s="318" t="s">
        <v>98</v>
      </c>
    </row>
    <row r="1054" spans="1:2" ht="16.5" customHeight="1">
      <c r="A1054" s="318">
        <v>3989</v>
      </c>
      <c r="B1054" s="318" t="s">
        <v>98</v>
      </c>
    </row>
    <row r="1055" spans="1:2" ht="16.5" customHeight="1">
      <c r="A1055" s="318">
        <v>17700</v>
      </c>
      <c r="B1055" s="318" t="s">
        <v>129</v>
      </c>
    </row>
    <row r="1056" spans="1:2" ht="16.5" customHeight="1">
      <c r="A1056" s="318" t="s">
        <v>476</v>
      </c>
      <c r="B1056" s="318" t="s">
        <v>125</v>
      </c>
    </row>
    <row r="1057" spans="1:2" ht="16.5" customHeight="1">
      <c r="A1057" s="318">
        <v>86030</v>
      </c>
      <c r="B1057" s="318" t="s">
        <v>30</v>
      </c>
    </row>
    <row r="1058" spans="1:2" ht="16.5" customHeight="1">
      <c r="A1058" s="327" t="s">
        <v>477</v>
      </c>
      <c r="B1058" s="318" t="s">
        <v>125</v>
      </c>
    </row>
    <row r="1059" spans="1:2" ht="16.5" customHeight="1">
      <c r="A1059" s="318">
        <v>233975</v>
      </c>
      <c r="B1059" s="318" t="s">
        <v>128</v>
      </c>
    </row>
    <row r="1060" spans="1:2" ht="16.5" customHeight="1">
      <c r="A1060" s="318">
        <v>12617</v>
      </c>
      <c r="B1060" s="318" t="s">
        <v>130</v>
      </c>
    </row>
    <row r="1061" spans="1:2" ht="16.5" customHeight="1">
      <c r="A1061" s="318">
        <v>3026</v>
      </c>
      <c r="B1061" s="318" t="s">
        <v>30</v>
      </c>
    </row>
    <row r="1062" spans="1:2" ht="16.5" customHeight="1">
      <c r="A1062" s="327" t="s">
        <v>478</v>
      </c>
      <c r="B1062" s="325" t="s">
        <v>479</v>
      </c>
    </row>
    <row r="1063" spans="1:2" ht="16.5" customHeight="1">
      <c r="A1063" s="318">
        <v>5529</v>
      </c>
      <c r="B1063" s="318" t="s">
        <v>98</v>
      </c>
    </row>
    <row r="1064" spans="1:2" ht="16.5" customHeight="1">
      <c r="A1064" s="318" t="s">
        <v>480</v>
      </c>
      <c r="B1064" s="318" t="s">
        <v>30</v>
      </c>
    </row>
    <row r="1065" spans="1:2" ht="16.5" customHeight="1">
      <c r="A1065" s="327" t="s">
        <v>481</v>
      </c>
      <c r="B1065" s="325" t="s">
        <v>128</v>
      </c>
    </row>
    <row r="1066" spans="1:2" ht="16.5" customHeight="1">
      <c r="A1066" s="327" t="s">
        <v>482</v>
      </c>
      <c r="B1066" s="318" t="s">
        <v>30</v>
      </c>
    </row>
    <row r="1067" spans="1:2" ht="16.5" customHeight="1">
      <c r="A1067" s="318">
        <v>2953</v>
      </c>
      <c r="B1067" s="318" t="s">
        <v>132</v>
      </c>
    </row>
    <row r="1068" spans="1:2" ht="16.5" customHeight="1">
      <c r="A1068" s="327" t="s">
        <v>483</v>
      </c>
      <c r="B1068" s="325" t="s">
        <v>30</v>
      </c>
    </row>
    <row r="1069" spans="1:2" ht="16.5" customHeight="1">
      <c r="A1069" s="318" t="s">
        <v>484</v>
      </c>
      <c r="B1069" s="318" t="s">
        <v>30</v>
      </c>
    </row>
    <row r="1070" spans="1:2" ht="16.5" customHeight="1">
      <c r="A1070" s="318">
        <v>12618</v>
      </c>
      <c r="B1070" s="318" t="s">
        <v>130</v>
      </c>
    </row>
    <row r="1071" spans="1:2" ht="16.5" customHeight="1">
      <c r="A1071" s="318" t="s">
        <v>485</v>
      </c>
      <c r="B1071" s="318" t="s">
        <v>125</v>
      </c>
    </row>
    <row r="1072" spans="1:2" ht="16.5" customHeight="1">
      <c r="A1072" s="318" t="s">
        <v>486</v>
      </c>
      <c r="B1072" s="318" t="s">
        <v>129</v>
      </c>
    </row>
    <row r="1073" spans="1:2" ht="16.5" customHeight="1">
      <c r="A1073" s="318" t="s">
        <v>487</v>
      </c>
      <c r="B1073" s="318" t="s">
        <v>30</v>
      </c>
    </row>
    <row r="1074" spans="1:2" ht="16.5" customHeight="1">
      <c r="A1074" s="327">
        <v>3027</v>
      </c>
      <c r="B1074" s="318" t="s">
        <v>30</v>
      </c>
    </row>
    <row r="1075" spans="1:2" ht="16.5" customHeight="1">
      <c r="A1075" s="317">
        <v>3276</v>
      </c>
      <c r="B1075" s="317" t="s">
        <v>30</v>
      </c>
    </row>
    <row r="1076" spans="1:2" ht="16.5" customHeight="1">
      <c r="A1076" s="318">
        <v>3277</v>
      </c>
      <c r="B1076" s="318" t="s">
        <v>30</v>
      </c>
    </row>
    <row r="1077" spans="1:2" ht="16.5" customHeight="1">
      <c r="A1077" s="318">
        <v>57776</v>
      </c>
      <c r="B1077" s="318" t="s">
        <v>130</v>
      </c>
    </row>
    <row r="1078" spans="1:2" ht="16.5" customHeight="1">
      <c r="A1078" s="318" t="s">
        <v>488</v>
      </c>
      <c r="B1078" s="318" t="s">
        <v>479</v>
      </c>
    </row>
    <row r="1079" spans="1:2" ht="16.5" customHeight="1">
      <c r="A1079" s="327">
        <v>302047</v>
      </c>
      <c r="B1079" s="318" t="s">
        <v>133</v>
      </c>
    </row>
    <row r="1080" spans="1:2" ht="16.5" customHeight="1">
      <c r="A1080" s="318">
        <v>99820</v>
      </c>
      <c r="B1080" s="318" t="s">
        <v>98</v>
      </c>
    </row>
    <row r="1081" spans="1:2" ht="16.5" customHeight="1">
      <c r="A1081" s="327" t="s">
        <v>489</v>
      </c>
      <c r="B1081" s="318" t="s">
        <v>30</v>
      </c>
    </row>
    <row r="1082" spans="1:2" ht="16.5" customHeight="1">
      <c r="A1082" s="318" t="s">
        <v>490</v>
      </c>
      <c r="B1082" s="318" t="s">
        <v>479</v>
      </c>
    </row>
    <row r="1083" spans="1:2" ht="16.5" customHeight="1">
      <c r="A1083" s="318">
        <v>45600</v>
      </c>
      <c r="B1083" s="318" t="s">
        <v>30</v>
      </c>
    </row>
    <row r="1084" spans="1:2" ht="16.5" customHeight="1">
      <c r="A1084" s="334">
        <v>2967</v>
      </c>
      <c r="B1084" s="334" t="s">
        <v>30</v>
      </c>
    </row>
    <row r="1085" spans="1:2" ht="16.5" customHeight="1">
      <c r="A1085" s="318">
        <v>69000</v>
      </c>
      <c r="B1085" s="318" t="s">
        <v>30</v>
      </c>
    </row>
    <row r="1086" spans="1:2" ht="16.5" customHeight="1">
      <c r="A1086" s="318" t="s">
        <v>491</v>
      </c>
      <c r="B1086" s="318" t="s">
        <v>31</v>
      </c>
    </row>
    <row r="1087" spans="1:2" ht="16.5" customHeight="1">
      <c r="A1087" s="327">
        <v>2949</v>
      </c>
      <c r="B1087" s="318" t="s">
        <v>31</v>
      </c>
    </row>
    <row r="1088" spans="1:2" ht="16.5" customHeight="1">
      <c r="A1088" s="318">
        <v>13520</v>
      </c>
      <c r="B1088" s="318" t="s">
        <v>130</v>
      </c>
    </row>
    <row r="1089" spans="1:2" ht="16.5" customHeight="1">
      <c r="A1089" s="327">
        <v>12618</v>
      </c>
      <c r="B1089" s="318" t="s">
        <v>130</v>
      </c>
    </row>
    <row r="1090" spans="1:2" ht="16.5" customHeight="1">
      <c r="A1090" s="327">
        <v>2966</v>
      </c>
      <c r="B1090" s="318" t="s">
        <v>30</v>
      </c>
    </row>
    <row r="1091" spans="1:2" ht="16.5" customHeight="1">
      <c r="A1091" s="318">
        <v>46500</v>
      </c>
      <c r="B1091" s="318" t="s">
        <v>30</v>
      </c>
    </row>
    <row r="1092" spans="1:2" ht="16.5" customHeight="1">
      <c r="A1092" s="318">
        <v>80062</v>
      </c>
      <c r="B1092" s="318" t="s">
        <v>129</v>
      </c>
    </row>
    <row r="1093" spans="1:2" ht="16.5" customHeight="1">
      <c r="A1093" s="327" t="s">
        <v>492</v>
      </c>
      <c r="B1093" s="325" t="s">
        <v>30</v>
      </c>
    </row>
    <row r="1094" spans="1:2" ht="16.5" customHeight="1">
      <c r="A1094" s="318">
        <v>13519</v>
      </c>
      <c r="B1094" s="318" t="s">
        <v>129</v>
      </c>
    </row>
    <row r="1095" spans="1:2" ht="16.5" customHeight="1">
      <c r="A1095" s="318" t="s">
        <v>493</v>
      </c>
      <c r="B1095" s="318" t="s">
        <v>130</v>
      </c>
    </row>
    <row r="1096" spans="1:2" ht="16.5" customHeight="1">
      <c r="A1096" s="318" t="s">
        <v>494</v>
      </c>
      <c r="B1096" s="318" t="s">
        <v>129</v>
      </c>
    </row>
    <row r="1097" spans="1:2" ht="16.5" customHeight="1">
      <c r="A1097" s="327" t="s">
        <v>495</v>
      </c>
      <c r="B1097" s="318" t="s">
        <v>496</v>
      </c>
    </row>
    <row r="1098" spans="1:2" ht="16.5" customHeight="1">
      <c r="A1098" s="318">
        <v>5611</v>
      </c>
      <c r="B1098" s="318" t="s">
        <v>98</v>
      </c>
    </row>
    <row r="1099" spans="1:2" ht="16.5" customHeight="1">
      <c r="A1099" s="318">
        <v>3048</v>
      </c>
      <c r="B1099" s="318" t="s">
        <v>130</v>
      </c>
    </row>
    <row r="1100" spans="1:2" ht="16.5" customHeight="1">
      <c r="A1100" s="318">
        <v>7073</v>
      </c>
      <c r="B1100" s="318" t="s">
        <v>129</v>
      </c>
    </row>
    <row r="1101" spans="1:2" ht="16.5" customHeight="1">
      <c r="A1101" s="327">
        <v>65101</v>
      </c>
      <c r="B1101" s="318" t="s">
        <v>30</v>
      </c>
    </row>
    <row r="1102" spans="1:2" ht="16.5" customHeight="1">
      <c r="A1102" s="327" t="s">
        <v>497</v>
      </c>
      <c r="B1102" s="318" t="s">
        <v>31</v>
      </c>
    </row>
    <row r="1103" spans="1:2" ht="16.5" customHeight="1">
      <c r="A1103" s="327">
        <v>3027</v>
      </c>
      <c r="B1103" s="318" t="s">
        <v>30</v>
      </c>
    </row>
    <row r="1104" spans="1:2" ht="16.5" customHeight="1">
      <c r="A1104" s="327">
        <v>3188</v>
      </c>
      <c r="B1104" s="318" t="s">
        <v>31</v>
      </c>
    </row>
    <row r="1105" spans="1:2" ht="16.5" customHeight="1">
      <c r="A1105" s="318">
        <v>45400</v>
      </c>
      <c r="B1105" s="318" t="s">
        <v>30</v>
      </c>
    </row>
    <row r="1106" spans="1:2" ht="16.5" customHeight="1">
      <c r="A1106" s="327">
        <v>45365</v>
      </c>
      <c r="B1106" s="318" t="s">
        <v>30</v>
      </c>
    </row>
    <row r="1107" spans="1:2" ht="16.5" customHeight="1">
      <c r="A1107" s="327">
        <v>45390</v>
      </c>
      <c r="B1107" s="318" t="s">
        <v>30</v>
      </c>
    </row>
    <row r="1108" spans="1:2" ht="16.5" customHeight="1">
      <c r="A1108" s="327">
        <v>92302</v>
      </c>
      <c r="B1108" s="318" t="s">
        <v>98</v>
      </c>
    </row>
    <row r="1109" spans="1:2" ht="16.5" customHeight="1">
      <c r="A1109" s="327">
        <v>3229</v>
      </c>
      <c r="B1109" s="318" t="s">
        <v>31</v>
      </c>
    </row>
    <row r="1110" spans="1:2" ht="16.5" customHeight="1">
      <c r="A1110" s="327">
        <v>231968</v>
      </c>
      <c r="B1110" s="318" t="s">
        <v>98</v>
      </c>
    </row>
    <row r="1111" spans="1:2" ht="16.5" customHeight="1">
      <c r="A1111" s="327">
        <v>91388</v>
      </c>
      <c r="B1111" s="318" t="s">
        <v>129</v>
      </c>
    </row>
    <row r="1112" spans="1:2" ht="16.5" customHeight="1">
      <c r="A1112" s="327">
        <v>91305</v>
      </c>
      <c r="B1112" s="318" t="s">
        <v>129</v>
      </c>
    </row>
    <row r="1113" spans="1:2" ht="16.5" customHeight="1">
      <c r="A1113" s="327">
        <v>91392</v>
      </c>
      <c r="B1113" s="318" t="s">
        <v>129</v>
      </c>
    </row>
    <row r="1114" spans="1:2" ht="16.5" customHeight="1">
      <c r="A1114" s="327">
        <v>91393</v>
      </c>
      <c r="B1114" s="318" t="s">
        <v>129</v>
      </c>
    </row>
    <row r="1115" spans="1:2" ht="16.5" customHeight="1">
      <c r="A1115" s="327">
        <v>91394</v>
      </c>
      <c r="B1115" s="318" t="s">
        <v>129</v>
      </c>
    </row>
    <row r="1116" spans="1:2" ht="16.5" customHeight="1">
      <c r="A1116" s="327">
        <v>91395</v>
      </c>
      <c r="B1116" s="318" t="s">
        <v>129</v>
      </c>
    </row>
    <row r="1117" spans="1:2" ht="16.5" customHeight="1">
      <c r="A1117" s="318">
        <v>91396</v>
      </c>
      <c r="B1117" s="318" t="s">
        <v>129</v>
      </c>
    </row>
    <row r="1118" spans="1:2" ht="16.5" customHeight="1">
      <c r="A1118" s="318">
        <v>91397</v>
      </c>
      <c r="B1118" s="318" t="s">
        <v>129</v>
      </c>
    </row>
    <row r="1119" spans="1:2" ht="16.5" customHeight="1">
      <c r="A1119" s="327">
        <v>91398</v>
      </c>
      <c r="B1119" s="318" t="s">
        <v>129</v>
      </c>
    </row>
    <row r="1120" spans="1:2" ht="16.5" customHeight="1">
      <c r="A1120" s="327">
        <v>12624</v>
      </c>
      <c r="B1120" s="318" t="s">
        <v>98</v>
      </c>
    </row>
    <row r="1121" spans="1:2" ht="16.5" customHeight="1">
      <c r="A1121" s="327">
        <v>5569</v>
      </c>
      <c r="B1121" s="318" t="s">
        <v>30</v>
      </c>
    </row>
    <row r="1122" spans="1:2" ht="16.5" customHeight="1">
      <c r="A1122" s="327">
        <v>5590</v>
      </c>
      <c r="B1122" s="318" t="s">
        <v>30</v>
      </c>
    </row>
    <row r="1123" spans="1:2" ht="16.5" customHeight="1">
      <c r="A1123" s="327" t="s">
        <v>498</v>
      </c>
      <c r="B1123" s="318" t="s">
        <v>125</v>
      </c>
    </row>
    <row r="1124" spans="1:2" ht="16.5" customHeight="1">
      <c r="A1124" s="327" t="s">
        <v>499</v>
      </c>
      <c r="B1124" s="318" t="s">
        <v>125</v>
      </c>
    </row>
    <row r="1125" spans="1:2" ht="16.5" customHeight="1">
      <c r="A1125" s="327">
        <v>45490</v>
      </c>
      <c r="B1125" s="318" t="s">
        <v>30</v>
      </c>
    </row>
    <row r="1126" spans="1:2" ht="16.5" customHeight="1">
      <c r="A1126" s="327">
        <v>8148</v>
      </c>
      <c r="B1126" s="318" t="s">
        <v>125</v>
      </c>
    </row>
    <row r="1127" spans="1:2" ht="16.5" customHeight="1">
      <c r="A1127" s="327">
        <v>2979</v>
      </c>
      <c r="B1127" s="318" t="s">
        <v>98</v>
      </c>
    </row>
    <row r="1128" spans="1:2" ht="16.5" customHeight="1">
      <c r="A1128" s="327">
        <v>5649</v>
      </c>
      <c r="B1128" s="318" t="s">
        <v>98</v>
      </c>
    </row>
    <row r="1129" spans="1:2" ht="16.5" customHeight="1">
      <c r="A1129" s="335">
        <v>5689</v>
      </c>
      <c r="B1129" s="318" t="s">
        <v>98</v>
      </c>
    </row>
    <row r="1130" spans="1:2" ht="16.5" customHeight="1">
      <c r="A1130" s="318">
        <v>5729</v>
      </c>
      <c r="B1130" s="318" t="s">
        <v>98</v>
      </c>
    </row>
    <row r="1131" spans="1:2" ht="16.5" customHeight="1">
      <c r="A1131" s="327">
        <v>8146</v>
      </c>
      <c r="B1131" s="318" t="s">
        <v>125</v>
      </c>
    </row>
    <row r="1132" spans="1:2" ht="16.5" customHeight="1">
      <c r="A1132" s="327">
        <v>8147</v>
      </c>
      <c r="B1132" s="318" t="s">
        <v>125</v>
      </c>
    </row>
    <row r="1133" spans="1:2" ht="16.5" customHeight="1">
      <c r="A1133" s="327">
        <v>2509</v>
      </c>
      <c r="B1133" s="318" t="s">
        <v>98</v>
      </c>
    </row>
    <row r="1134" spans="1:2" ht="16.5" customHeight="1">
      <c r="A1134" s="327" t="s">
        <v>500</v>
      </c>
      <c r="B1134" s="318" t="s">
        <v>30</v>
      </c>
    </row>
    <row r="1135" spans="1:2" ht="16.5" customHeight="1">
      <c r="A1135" s="327">
        <v>91306</v>
      </c>
      <c r="B1135" s="318" t="s">
        <v>129</v>
      </c>
    </row>
    <row r="1136" spans="1:2" ht="16.5" customHeight="1">
      <c r="A1136" s="327" t="s">
        <v>501</v>
      </c>
      <c r="B1136" s="318" t="s">
        <v>125</v>
      </c>
    </row>
    <row r="1137" spans="1:2" ht="16.5" customHeight="1">
      <c r="A1137" s="327" t="s">
        <v>502</v>
      </c>
      <c r="B1137" s="318" t="s">
        <v>129</v>
      </c>
    </row>
    <row r="1138" spans="1:2" ht="16.5" customHeight="1">
      <c r="A1138" s="327" t="s">
        <v>503</v>
      </c>
      <c r="B1138" s="318" t="s">
        <v>129</v>
      </c>
    </row>
    <row r="1139" spans="1:2" ht="16.5" customHeight="1">
      <c r="A1139" s="327">
        <v>57788</v>
      </c>
      <c r="B1139" s="318" t="s">
        <v>98</v>
      </c>
    </row>
    <row r="1140" spans="1:2" ht="16.5" customHeight="1">
      <c r="A1140" s="327" t="s">
        <v>504</v>
      </c>
      <c r="B1140" s="318" t="s">
        <v>125</v>
      </c>
    </row>
    <row r="1141" spans="1:2" ht="16.5" customHeight="1">
      <c r="A1141" s="327">
        <v>45420</v>
      </c>
      <c r="B1141" s="318" t="s">
        <v>30</v>
      </c>
    </row>
    <row r="1142" spans="1:2" ht="16.5" customHeight="1">
      <c r="A1142" s="317">
        <v>45308</v>
      </c>
      <c r="B1142" s="317" t="s">
        <v>30</v>
      </c>
    </row>
    <row r="1143" spans="1:2" ht="16.5" customHeight="1">
      <c r="A1143" s="327">
        <v>2983</v>
      </c>
      <c r="B1143" s="318" t="s">
        <v>30</v>
      </c>
    </row>
    <row r="1144" spans="1:2" ht="16.5" customHeight="1">
      <c r="A1144" s="318" t="s">
        <v>505</v>
      </c>
      <c r="B1144" s="318" t="s">
        <v>30</v>
      </c>
    </row>
    <row r="1145" spans="1:2" ht="16.5" customHeight="1">
      <c r="A1145" s="327">
        <v>14959</v>
      </c>
      <c r="B1145" s="318" t="s">
        <v>129</v>
      </c>
    </row>
    <row r="1146" spans="1:2" ht="16.5" customHeight="1">
      <c r="A1146" s="327">
        <v>8454</v>
      </c>
      <c r="B1146" s="318" t="s">
        <v>30</v>
      </c>
    </row>
    <row r="1147" spans="1:2" ht="16.5" customHeight="1">
      <c r="A1147" s="327">
        <v>63250</v>
      </c>
      <c r="B1147" s="318" t="s">
        <v>98</v>
      </c>
    </row>
    <row r="1148" spans="1:2" ht="16.5" customHeight="1">
      <c r="A1148" s="327">
        <v>8453</v>
      </c>
      <c r="B1148" s="318" t="s">
        <v>30</v>
      </c>
    </row>
    <row r="1149" spans="1:2" ht="16.5" customHeight="1">
      <c r="A1149" s="317" t="s">
        <v>506</v>
      </c>
      <c r="B1149" s="317" t="s">
        <v>129</v>
      </c>
    </row>
    <row r="1150" spans="1:2" ht="16.5" customHeight="1">
      <c r="A1150" s="318">
        <v>90670</v>
      </c>
      <c r="B1150" s="318" t="s">
        <v>98</v>
      </c>
    </row>
    <row r="1151" spans="1:2" ht="16.5" customHeight="1">
      <c r="A1151" s="318">
        <v>2987</v>
      </c>
      <c r="B1151" s="318" t="s">
        <v>129</v>
      </c>
    </row>
    <row r="1152" spans="1:2" ht="16.5" customHeight="1">
      <c r="A1152" s="318">
        <v>2988</v>
      </c>
      <c r="B1152" s="318" t="s">
        <v>129</v>
      </c>
    </row>
    <row r="1153" spans="1:2" ht="16.5" customHeight="1">
      <c r="A1153" s="318">
        <v>45310</v>
      </c>
      <c r="B1153" s="318" t="s">
        <v>30</v>
      </c>
    </row>
    <row r="1154" spans="1:2" ht="16.5" customHeight="1">
      <c r="A1154" s="327" t="s">
        <v>507</v>
      </c>
      <c r="B1154" s="325" t="s">
        <v>129</v>
      </c>
    </row>
    <row r="1155" spans="1:2" ht="16.5" customHeight="1">
      <c r="A1155" s="327" t="s">
        <v>508</v>
      </c>
      <c r="B1155" s="325" t="s">
        <v>31</v>
      </c>
    </row>
    <row r="1156" spans="1:2" ht="16.5" customHeight="1">
      <c r="A1156" s="327" t="s">
        <v>509</v>
      </c>
      <c r="B1156" s="325" t="s">
        <v>30</v>
      </c>
    </row>
    <row r="1157" spans="1:2" ht="16.5" customHeight="1">
      <c r="A1157" s="327" t="s">
        <v>510</v>
      </c>
      <c r="B1157" s="325" t="s">
        <v>129</v>
      </c>
    </row>
    <row r="1158" spans="1:2" ht="16.5" customHeight="1">
      <c r="A1158" s="318" t="s">
        <v>511</v>
      </c>
      <c r="B1158" s="318" t="s">
        <v>30</v>
      </c>
    </row>
    <row r="1159" spans="1:2" ht="16.5" customHeight="1">
      <c r="A1159" s="318" t="s">
        <v>512</v>
      </c>
      <c r="B1159" s="318" t="s">
        <v>496</v>
      </c>
    </row>
    <row r="1160" spans="1:2" ht="16.5" customHeight="1">
      <c r="A1160" s="318" t="s">
        <v>513</v>
      </c>
      <c r="B1160" s="317" t="s">
        <v>496</v>
      </c>
    </row>
    <row r="1161" spans="1:2" ht="16.5" customHeight="1">
      <c r="A1161" s="318" t="s">
        <v>514</v>
      </c>
      <c r="B1161" s="317" t="s">
        <v>30</v>
      </c>
    </row>
    <row r="1162" spans="1:2" ht="16.5" customHeight="1">
      <c r="A1162" s="318" t="s">
        <v>515</v>
      </c>
      <c r="B1162" s="317" t="s">
        <v>30</v>
      </c>
    </row>
    <row r="1163" spans="1:2" ht="16.5" customHeight="1">
      <c r="A1163" s="318" t="s">
        <v>516</v>
      </c>
      <c r="B1163" s="317" t="s">
        <v>30</v>
      </c>
    </row>
    <row r="1164" spans="1:2" ht="16.5" customHeight="1">
      <c r="A1164" s="327" t="s">
        <v>517</v>
      </c>
      <c r="B1164" s="318" t="s">
        <v>98</v>
      </c>
    </row>
    <row r="1165" spans="1:2" ht="16.5" customHeight="1">
      <c r="A1165" s="327" t="s">
        <v>518</v>
      </c>
      <c r="B1165" s="318" t="s">
        <v>129</v>
      </c>
    </row>
    <row r="1166" spans="1:2" ht="16.5" customHeight="1">
      <c r="A1166" s="318" t="s">
        <v>519</v>
      </c>
      <c r="B1166" s="317" t="s">
        <v>153</v>
      </c>
    </row>
    <row r="1167" spans="1:2" ht="16.5" customHeight="1">
      <c r="A1167" s="318" t="s">
        <v>520</v>
      </c>
      <c r="B1167" s="318" t="s">
        <v>98</v>
      </c>
    </row>
    <row r="1168" spans="1:2" ht="16.5" customHeight="1">
      <c r="A1168" s="327" t="s">
        <v>521</v>
      </c>
      <c r="B1168" s="318" t="s">
        <v>31</v>
      </c>
    </row>
    <row r="1169" spans="1:2" ht="16.5" customHeight="1">
      <c r="A1169" s="327">
        <v>3007</v>
      </c>
      <c r="B1169" s="318" t="s">
        <v>31</v>
      </c>
    </row>
    <row r="1170" spans="1:2" ht="16.5" customHeight="1">
      <c r="A1170" s="327">
        <v>3006</v>
      </c>
      <c r="B1170" s="318" t="s">
        <v>31</v>
      </c>
    </row>
    <row r="1171" spans="1:2" ht="16.5" customHeight="1">
      <c r="A1171" s="327" t="s">
        <v>522</v>
      </c>
      <c r="B1171" s="318" t="s">
        <v>30</v>
      </c>
    </row>
    <row r="1172" spans="1:2" ht="16.5" customHeight="1">
      <c r="A1172" s="318" t="s">
        <v>523</v>
      </c>
      <c r="B1172" s="318" t="s">
        <v>30</v>
      </c>
    </row>
    <row r="1173" spans="1:2" ht="16.5" customHeight="1">
      <c r="A1173" s="318" t="s">
        <v>524</v>
      </c>
      <c r="B1173" s="318" t="s">
        <v>479</v>
      </c>
    </row>
    <row r="1174" spans="1:2" ht="16.5" customHeight="1">
      <c r="A1174" s="318" t="s">
        <v>525</v>
      </c>
      <c r="B1174" s="318" t="s">
        <v>479</v>
      </c>
    </row>
    <row r="1175" spans="1:2" ht="16.5" customHeight="1">
      <c r="A1175" s="318">
        <v>1532</v>
      </c>
      <c r="B1175" s="318" t="s">
        <v>30</v>
      </c>
    </row>
    <row r="1176" spans="1:2" ht="16.5" customHeight="1">
      <c r="A1176" s="325">
        <v>57859</v>
      </c>
      <c r="B1176" s="318" t="s">
        <v>98</v>
      </c>
    </row>
    <row r="1177" spans="1:2" ht="16.5" customHeight="1">
      <c r="A1177" s="325" t="s">
        <v>526</v>
      </c>
      <c r="B1177" s="318" t="s">
        <v>133</v>
      </c>
    </row>
    <row r="1178" spans="1:2" ht="16.5" customHeight="1">
      <c r="A1178" s="325" t="s">
        <v>527</v>
      </c>
      <c r="B1178" s="318" t="s">
        <v>30</v>
      </c>
    </row>
    <row r="1179" spans="1:2" ht="16.5" customHeight="1">
      <c r="A1179" s="325" t="s">
        <v>528</v>
      </c>
      <c r="B1179" s="318" t="s">
        <v>129</v>
      </c>
    </row>
    <row r="1180" spans="1:2" ht="16.5" customHeight="1">
      <c r="A1180" s="325" t="s">
        <v>529</v>
      </c>
      <c r="B1180" s="318" t="s">
        <v>128</v>
      </c>
    </row>
    <row r="1181" spans="1:2" ht="16.5" customHeight="1">
      <c r="A1181" s="325" t="s">
        <v>530</v>
      </c>
      <c r="B1181" s="318" t="s">
        <v>531</v>
      </c>
    </row>
    <row r="1182" spans="1:2" ht="16.5" customHeight="1">
      <c r="A1182" s="325">
        <v>45430</v>
      </c>
      <c r="B1182" s="318" t="s">
        <v>129</v>
      </c>
    </row>
    <row r="1183" spans="1:2" ht="16.5" customHeight="1">
      <c r="A1183" s="325" t="s">
        <v>532</v>
      </c>
      <c r="B1183" s="318" t="s">
        <v>31</v>
      </c>
    </row>
    <row r="1184" spans="1:2" ht="16.5" customHeight="1">
      <c r="A1184" s="325" t="s">
        <v>533</v>
      </c>
      <c r="B1184" s="318" t="s">
        <v>125</v>
      </c>
    </row>
    <row r="1185" spans="1:2" ht="16.5" customHeight="1">
      <c r="A1185" s="325">
        <v>2989</v>
      </c>
      <c r="B1185" s="318" t="s">
        <v>30</v>
      </c>
    </row>
    <row r="1186" spans="1:2" ht="16.5" customHeight="1">
      <c r="A1186" s="325">
        <v>57803</v>
      </c>
      <c r="B1186" s="318" t="s">
        <v>98</v>
      </c>
    </row>
    <row r="1187" spans="1:2" ht="16.5" customHeight="1">
      <c r="A1187" s="325">
        <v>57470</v>
      </c>
      <c r="B1187" s="318" t="s">
        <v>130</v>
      </c>
    </row>
    <row r="1188" spans="1:2" ht="16.5" customHeight="1">
      <c r="A1188" s="325" t="s">
        <v>534</v>
      </c>
      <c r="B1188" s="318" t="s">
        <v>30</v>
      </c>
    </row>
    <row r="1189" spans="1:2" ht="16.5" customHeight="1">
      <c r="A1189" s="325">
        <v>2167</v>
      </c>
      <c r="B1189" s="318" t="s">
        <v>98</v>
      </c>
    </row>
    <row r="1190" spans="1:2" ht="16.5" customHeight="1">
      <c r="A1190" s="326">
        <v>59608</v>
      </c>
      <c r="B1190" s="318" t="s">
        <v>98</v>
      </c>
    </row>
  </sheetData>
  <phoneticPr fontId="9" type="noConversion"/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zoomScaleNormal="100" workbookViewId="0"/>
  </sheetViews>
  <sheetFormatPr defaultColWidth="9" defaultRowHeight="14"/>
  <sheetData/>
  <phoneticPr fontId="9" type="noConversion"/>
  <pageMargins left="0.7" right="0.7" top="0.75" bottom="0.75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D6"/>
  <sheetViews>
    <sheetView zoomScaleNormal="100" workbookViewId="0"/>
  </sheetViews>
  <sheetFormatPr defaultColWidth="8.5" defaultRowHeight="14"/>
  <cols>
    <col min="1" max="1" width="16" customWidth="1"/>
    <col min="2" max="2" width="24" customWidth="1"/>
  </cols>
  <sheetData>
    <row r="1" spans="1:4" ht="15" customHeight="1">
      <c r="A1" s="136" t="s">
        <v>535</v>
      </c>
      <c r="B1" s="136" t="s">
        <v>536</v>
      </c>
    </row>
    <row r="2" spans="1:4" ht="15" customHeight="1">
      <c r="A2" s="123" t="s">
        <v>537</v>
      </c>
      <c r="B2" s="123" t="s">
        <v>538</v>
      </c>
      <c r="D2" s="336" t="s">
        <v>539</v>
      </c>
    </row>
    <row r="3" spans="1:4" ht="15" customHeight="1">
      <c r="A3" s="123" t="s">
        <v>540</v>
      </c>
      <c r="B3" s="123" t="s">
        <v>541</v>
      </c>
      <c r="D3" s="336" t="s">
        <v>542</v>
      </c>
    </row>
    <row r="4" spans="1:4" ht="15" customHeight="1">
      <c r="A4" s="123" t="s">
        <v>543</v>
      </c>
      <c r="B4" s="123" t="s">
        <v>544</v>
      </c>
    </row>
    <row r="5" spans="1:4" ht="15" customHeight="1">
      <c r="A5" s="123" t="s">
        <v>545</v>
      </c>
      <c r="B5" s="123" t="s">
        <v>546</v>
      </c>
    </row>
    <row r="6" spans="1:4" ht="15" customHeight="1">
      <c r="A6" s="123" t="s">
        <v>66</v>
      </c>
      <c r="B6" s="123" t="s">
        <v>547</v>
      </c>
    </row>
  </sheetData>
  <phoneticPr fontId="9" type="noConversion"/>
  <pageMargins left="0.75" right="0.75" top="1" bottom="1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C4"/>
  <sheetViews>
    <sheetView zoomScaleNormal="100" workbookViewId="0"/>
  </sheetViews>
  <sheetFormatPr defaultColWidth="8.5" defaultRowHeight="14"/>
  <cols>
    <col min="1" max="1" width="16" customWidth="1"/>
  </cols>
  <sheetData>
    <row r="1" spans="1:3">
      <c r="A1" s="337" t="s">
        <v>548</v>
      </c>
    </row>
    <row r="2" spans="1:3" ht="15.5">
      <c r="A2" s="338" t="s">
        <v>540</v>
      </c>
      <c r="C2" s="339" t="s">
        <v>549</v>
      </c>
    </row>
    <row r="3" spans="1:3" ht="15.5">
      <c r="C3" s="339" t="s">
        <v>550</v>
      </c>
    </row>
    <row r="4" spans="1:3" ht="15.5">
      <c r="C4" s="339" t="s">
        <v>551</v>
      </c>
    </row>
  </sheetData>
  <phoneticPr fontId="9" type="noConversion"/>
  <pageMargins left="0.75" right="0.75" top="1" bottom="1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D2"/>
  <sheetViews>
    <sheetView zoomScaleNormal="100" workbookViewId="0"/>
  </sheetViews>
  <sheetFormatPr defaultColWidth="8.5" defaultRowHeight="14"/>
  <cols>
    <col min="1" max="2" width="12" customWidth="1"/>
  </cols>
  <sheetData>
    <row r="1" spans="1:4">
      <c r="A1" s="337" t="s">
        <v>43</v>
      </c>
      <c r="B1" s="337" t="s">
        <v>47</v>
      </c>
    </row>
    <row r="2" spans="1:4" ht="16">
      <c r="A2" s="340" t="s">
        <v>552</v>
      </c>
      <c r="B2" s="340" t="s">
        <v>31</v>
      </c>
      <c r="D2" s="339" t="s">
        <v>553</v>
      </c>
    </row>
  </sheetData>
  <phoneticPr fontId="9" type="noConversion"/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 지정된 범위</vt:lpstr>
      </vt:variant>
      <vt:variant>
        <vt:i4>14</vt:i4>
      </vt:variant>
    </vt:vector>
  </HeadingPairs>
  <TitlesOfParts>
    <vt:vector size="29" baseType="lpstr">
      <vt:lpstr>딜티켓 </vt:lpstr>
      <vt:lpstr>컨펌지(일반)</vt:lpstr>
      <vt:lpstr>컨펌지(수식적용)</vt:lpstr>
      <vt:lpstr>컨펌지(롤오버)</vt:lpstr>
      <vt:lpstr>컨펌지(언와인딩)</vt:lpstr>
      <vt:lpstr>유진자산운용(언와인딩)</vt:lpstr>
      <vt:lpstr>컨펌1-A</vt:lpstr>
      <vt:lpstr>컨펌지(수식미적용)</vt:lpstr>
      <vt:lpstr>컨펌1-A (2)</vt:lpstr>
      <vt:lpstr>컨펌1-B</vt:lpstr>
      <vt:lpstr>펀드목록</vt:lpstr>
      <vt:lpstr>Sheet1</vt:lpstr>
      <vt:lpstr>고객목록</vt:lpstr>
      <vt:lpstr>운용사목록</vt:lpstr>
      <vt:lpstr>우리</vt:lpstr>
      <vt:lpstr>'컨펌지(롤오버)'!Excel_BuiltIn__FilterDatabase</vt:lpstr>
      <vt:lpstr>'컨펌지(수식미적용)'!Excel_BuiltIn__FilterDatabase</vt:lpstr>
      <vt:lpstr>'컨펌지(수식적용)'!Excel_BuiltIn__FilterDatabase</vt:lpstr>
      <vt:lpstr>'컨펌지(언와인딩)'!Excel_BuiltIn__FilterDatabase</vt:lpstr>
      <vt:lpstr>'컨펌지(롤오버)'!Excel_BuiltIn_Extract</vt:lpstr>
      <vt:lpstr>'컨펌지(수식미적용)'!Excel_BuiltIn_Extract</vt:lpstr>
      <vt:lpstr>'컨펌지(수식적용)'!Excel_BuiltIn_Extract</vt:lpstr>
      <vt:lpstr>'컨펌지(언와인딩)'!Excel_BuiltIn_Extract</vt:lpstr>
      <vt:lpstr>'딜티켓 '!Print_Area</vt:lpstr>
      <vt:lpstr>'컨펌지(롤오버)'!Print_Area</vt:lpstr>
      <vt:lpstr>'컨펌지(수식미적용)'!Print_Area</vt:lpstr>
      <vt:lpstr>'컨펌지(수식적용)'!Print_Area</vt:lpstr>
      <vt:lpstr>'컨펌지(언와인딩)'!Print_Area</vt:lpstr>
      <vt:lpstr>'컨펌지(일반)'!Print_Area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dc:description/>
  <cp:lastModifiedBy>선수 김</cp:lastModifiedBy>
  <cp:revision>0</cp:revision>
  <cp:lastPrinted>2026-07-15T06:46:02Z</cp:lastPrinted>
  <dcterms:created xsi:type="dcterms:W3CDTF">2012-03-28T00:33:51Z</dcterms:created>
  <dcterms:modified xsi:type="dcterms:W3CDTF">2026-07-18T15:00:33Z</dcterms:modified>
  <dc:language>en-US</dc:language>
</cp:coreProperties>
</file>