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검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<sst xmlns="http://schemas.openxmlformats.org/spreadsheetml/2006/main" count="90" uniqueCount="90">
  <si>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r>
      <rPr>
        <b val="true"/>
        <sz val="12"/>
        <rFont val="Arial"/>
        <family val="0"/>
        <charset val="1"/>
      </rPr>
      <t xml:space="preserve">[</t>
    </r>
    <r>
      <rPr>
        <b val="true"/>
        <sz val="12"/>
        <rFont val="Noto Sans CJK SC"/>
        <family val="2"/>
      </rPr>
      <t xml:space="preserve">검증</t>
    </r>
    <r>
      <rPr>
        <b val="true"/>
        <sz val="12"/>
        <rFont val="Arial"/>
        <family val="0"/>
        <charset val="1"/>
      </rPr>
      <t xml:space="preserve">] 60% </t>
    </r>
    <r>
      <rPr>
        <b val="true"/>
        <sz val="12"/>
        <rFont val="Noto Sans CJK SC"/>
        <family val="2"/>
      </rPr>
      <t xml:space="preserve">충족 기준 순콜론</t>
    </r>
    <r>
      <rPr>
        <b val="true"/>
        <sz val="12"/>
        <rFont val="Arial"/>
        <family val="0"/>
        <charset val="1"/>
      </rPr>
      <t xml:space="preserve">+MMDA </t>
    </r>
    <r>
      <rPr>
        <b val="true"/>
        <sz val="12"/>
        <rFont val="Noto Sans CJK SC"/>
        <family val="2"/>
      </rPr>
      <t xml:space="preserve">대입 시 외화여유자금비율 검증</t>
    </r>
  </si>
  <si>
    <r>
      <rPr>
        <sz val="8"/>
        <color rgb="FF666666"/>
        <rFont val="Noto Sans CJK SC"/>
        <family val="2"/>
      </rPr>
      <t xml:space="preserve">가용외화여유자금 </t>
    </r>
    <r>
      <rPr>
        <sz val="8"/>
        <color rgb="FF666666"/>
        <rFont val="Arial"/>
        <family val="0"/>
        <charset val="1"/>
      </rPr>
      <t xml:space="preserve">= (</t>
    </r>
    <r>
      <rPr>
        <sz val="8"/>
        <color rgb="FF666666"/>
        <rFont val="Noto Sans CJK SC"/>
        <family val="2"/>
      </rPr>
      <t xml:space="preserve">순콜론</t>
    </r>
    <r>
      <rPr>
        <sz val="8"/>
        <color rgb="FF666666"/>
        <rFont val="Arial"/>
        <family val="0"/>
        <charset val="1"/>
      </rPr>
      <t xml:space="preserve">+MMDA+FX</t>
    </r>
    <r>
      <rPr>
        <sz val="8"/>
        <color rgb="FF666666"/>
        <rFont val="Noto Sans CJK SC"/>
        <family val="2"/>
      </rPr>
      <t xml:space="preserve">스왑운용</t>
    </r>
    <r>
      <rPr>
        <sz val="8"/>
        <color rgb="FF666666"/>
        <rFont val="Arial"/>
        <family val="0"/>
        <charset val="1"/>
      </rPr>
      <t xml:space="preserve">-FX</t>
    </r>
    <r>
      <rPr>
        <sz val="8"/>
        <color rgb="FF666666"/>
        <rFont val="Noto Sans CJK SC"/>
        <family val="2"/>
      </rPr>
      <t xml:space="preserve">스왑조달</t>
    </r>
    <r>
      <rPr>
        <sz val="8"/>
        <color rgb="FF666666"/>
        <rFont val="Arial"/>
        <family val="0"/>
        <charset val="1"/>
      </rPr>
      <t xml:space="preserve">) x (1-</t>
    </r>
    <r>
      <rPr>
        <sz val="8"/>
        <color rgb="FF666666"/>
        <rFont val="Noto Sans CJK SC"/>
        <family val="2"/>
      </rPr>
      <t xml:space="preserve">헤어컷</t>
    </r>
    <r>
      <rPr>
        <sz val="8"/>
        <color rgb="FF666666"/>
        <rFont val="Arial"/>
        <family val="0"/>
        <charset val="1"/>
      </rPr>
      <t xml:space="preserve">) + </t>
    </r>
    <r>
      <rPr>
        <sz val="8"/>
        <color rgb="FF666666"/>
        <rFont val="Noto Sans CJK SC"/>
        <family val="2"/>
      </rPr>
      <t xml:space="preserve">제약없는 커미티드라인 </t>
    </r>
    <r>
      <rPr>
        <sz val="8"/>
        <color rgb="FF666666"/>
        <rFont val="Arial"/>
        <family val="0"/>
        <charset val="1"/>
      </rPr>
      <t xml:space="preserve">+ </t>
    </r>
    <r>
      <rPr>
        <sz val="8"/>
        <color rgb="FF666666"/>
        <rFont val="Noto Sans CJK SC"/>
        <family val="2"/>
      </rPr>
      <t xml:space="preserve">국공채   </t>
    </r>
    <r>
      <rPr>
        <sz val="8"/>
        <color rgb="FF666666"/>
        <rFont val="Arial"/>
        <family val="0"/>
        <charset val="1"/>
      </rPr>
      <t xml:space="preserve">/   </t>
    </r>
    <r>
      <rPr>
        <sz val="8"/>
        <color rgb="FF666666"/>
        <rFont val="Noto Sans CJK SC"/>
        <family val="2"/>
      </rPr>
      <t xml:space="preserve">외화여유자금비율 </t>
    </r>
    <r>
      <rPr>
        <sz val="8"/>
        <color rgb="FF666666"/>
        <rFont val="Arial"/>
        <family val="0"/>
        <charset val="1"/>
      </rPr>
      <t xml:space="preserve">= </t>
    </r>
    <r>
      <rPr>
        <sz val="8"/>
        <color rgb="FF666666"/>
        <rFont val="Noto Sans CJK SC"/>
        <family val="2"/>
      </rPr>
      <t xml:space="preserve">가용 </t>
    </r>
    <r>
      <rPr>
        <sz val="8"/>
        <color rgb="FF666666"/>
        <rFont val="Arial"/>
        <family val="0"/>
        <charset val="1"/>
      </rPr>
      <t xml:space="preserve">/ </t>
    </r>
    <r>
      <rPr>
        <sz val="8"/>
        <color rgb="FF666666"/>
        <rFont val="Noto Sans CJK SC"/>
        <family val="2"/>
      </rPr>
      <t xml:space="preserve">만기도래차입금   </t>
    </r>
    <r>
      <rPr>
        <sz val="8"/>
        <color rgb="FF666666"/>
        <rFont val="Arial"/>
        <family val="0"/>
        <charset val="1"/>
      </rPr>
      <t xml:space="preserve">(</t>
    </r>
    <r>
      <rPr>
        <sz val="8"/>
        <color rgb="FF666666"/>
        <rFont val="Noto Sans CJK SC"/>
        <family val="2"/>
      </rPr>
      <t xml:space="preserve">단위</t>
    </r>
    <r>
      <rPr>
        <sz val="8"/>
        <color rgb="FF666666"/>
        <rFont val="Arial"/>
        <family val="0"/>
        <charset val="1"/>
      </rPr>
      <t xml:space="preserve">: </t>
    </r>
    <r>
      <rPr>
        <sz val="8"/>
        <color rgb="FF666666"/>
        <rFont val="Noto Sans CJK SC"/>
        <family val="2"/>
      </rPr>
      <t xml:space="preserve">백만불</t>
    </r>
    <r>
      <rPr>
        <sz val="8"/>
        <color rgb="FF666666"/>
        <rFont val="Arial"/>
        <family val="0"/>
        <charset val="1"/>
      </rPr>
      <t xml:space="preserve">)</t>
    </r>
  </si>
  <si>
    <t xml:space="preserve">일자</t>
  </si>
  <si>
    <t xml:space="preserve">순콜론</t>
  </si>
  <si>
    <r>
      <rPr>
        <b val="true"/>
        <sz val="9"/>
        <rFont val="Noto Sans CJK SC"/>
        <family val="2"/>
      </rPr>
      <t xml:space="preserve">여유자금
</t>
    </r>
    <r>
      <rPr>
        <b val="true"/>
        <sz val="9"/>
        <rFont val="Arial"/>
        <family val="0"/>
        <charset val="1"/>
      </rPr>
      <t xml:space="preserve">MMDA</t>
    </r>
  </si>
  <si>
    <r>
      <rPr>
        <b val="true"/>
        <sz val="9"/>
        <rFont val="Noto Sans CJK SC"/>
        <family val="2"/>
      </rPr>
      <t xml:space="preserve">순콜론</t>
    </r>
    <r>
      <rPr>
        <b val="true"/>
        <sz val="9"/>
        <rFont val="Arial"/>
        <family val="0"/>
        <charset val="1"/>
      </rPr>
      <t xml:space="preserve">+MMDA
(</t>
    </r>
    <r>
      <rPr>
        <b val="true"/>
        <sz val="9"/>
        <rFont val="Noto Sans CJK SC"/>
        <family val="2"/>
      </rPr>
      <t xml:space="preserve">실제</t>
    </r>
    <r>
      <rPr>
        <b val="true"/>
        <sz val="9"/>
        <rFont val="Arial"/>
        <family val="0"/>
        <charset val="1"/>
      </rPr>
      <t xml:space="preserve">) D=B+C</t>
    </r>
  </si>
  <si>
    <r>
      <rPr>
        <b val="true"/>
        <sz val="9"/>
        <rFont val="Arial"/>
        <family val="0"/>
        <charset val="1"/>
      </rPr>
      <t xml:space="preserve">FX</t>
    </r>
    <r>
      <rPr>
        <b val="true"/>
        <sz val="9"/>
        <rFont val="Noto Sans CJK SC"/>
        <family val="2"/>
      </rPr>
      <t xml:space="preserve">스왑
운용</t>
    </r>
  </si>
  <si>
    <r>
      <rPr>
        <b val="true"/>
        <sz val="9"/>
        <rFont val="Arial"/>
        <family val="0"/>
        <charset val="1"/>
      </rPr>
      <t xml:space="preserve">FX</t>
    </r>
    <r>
      <rPr>
        <b val="true"/>
        <sz val="9"/>
        <rFont val="Noto Sans CJK SC"/>
        <family val="2"/>
      </rPr>
      <t xml:space="preserve">스왑
조달</t>
    </r>
  </si>
  <si>
    <r>
      <rPr>
        <b val="true"/>
        <sz val="9"/>
        <rFont val="Noto Sans CJK SC"/>
        <family val="2"/>
      </rPr>
      <t xml:space="preserve">커미티드
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제약없는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</si>
  <si>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커미티드
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제약있는</t>
    </r>
    <r>
      <rPr>
        <b val="true"/>
        <sz val="9"/>
        <rFont val="Arial"/>
        <family val="0"/>
        <charset val="1"/>
      </rPr>
      <t xml:space="preserve">)</t>
    </r>
  </si>
  <si>
    <t xml:space="preserve">美국채</t>
  </si>
  <si>
    <t xml:space="preserve">기타
국공채</t>
  </si>
  <si>
    <t xml:space="preserve">헤어컷</t>
  </si>
  <si>
    <r>
      <rPr>
        <b val="true"/>
        <sz val="9"/>
        <rFont val="Noto Sans CJK SC"/>
        <family val="2"/>
      </rPr>
      <t xml:space="preserve">가용
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원본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</si>
  <si>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가용
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재구성 수식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</si>
  <si>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재구성
오차 </t>
    </r>
    <r>
      <rPr>
        <b val="true"/>
        <sz val="9"/>
        <rFont val="Arial"/>
        <family val="0"/>
        <charset val="1"/>
      </rPr>
      <t xml:space="preserve">M-L</t>
    </r>
  </si>
  <si>
    <t xml:space="preserve">차입금</t>
  </si>
  <si>
    <r>
      <rPr>
        <b val="true"/>
        <sz val="9"/>
        <rFont val="Noto Sans CJK SC"/>
        <family val="2"/>
      </rPr>
      <t xml:space="preserve">비율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원본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</si>
  <si>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비율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재구성</t>
    </r>
    <r>
      <rPr>
        <b val="true"/>
        <sz val="9"/>
        <rFont val="Arial"/>
        <family val="0"/>
        <charset val="1"/>
      </rPr>
      <t xml:space="preserve">)
=M/O</t>
    </r>
  </si>
  <si>
    <r>
      <rPr>
        <b val="true"/>
        <sz val="9"/>
        <rFont val="Arial"/>
        <family val="0"/>
        <charset val="1"/>
      </rPr>
      <t xml:space="preserve">60%</t>
    </r>
    <r>
      <rPr>
        <b val="true"/>
        <sz val="9"/>
        <rFont val="Noto Sans CJK SC"/>
        <family val="2"/>
      </rPr>
      <t xml:space="preserve">충족 기준
현행</t>
    </r>
    <r>
      <rPr>
        <b val="true"/>
        <sz val="9"/>
        <rFont val="Arial"/>
        <family val="0"/>
        <charset val="1"/>
      </rPr>
      <t xml:space="preserve">(1:1)
Q=D-(M-0.6×O)</t>
    </r>
  </si>
  <si>
    <r>
      <rPr>
        <b val="true"/>
        <sz val="9"/>
        <rFont val="Arial"/>
        <family val="0"/>
        <charset val="1"/>
      </rPr>
      <t xml:space="preserve">Q </t>
    </r>
    <r>
      <rPr>
        <b val="true"/>
        <sz val="9"/>
        <rFont val="Noto Sans CJK SC"/>
        <family val="2"/>
      </rPr>
      <t xml:space="preserve">대입시
가용</t>
    </r>
  </si>
  <si>
    <r>
      <rPr>
        <b val="true"/>
        <sz val="9"/>
        <rFont val="Arial"/>
        <family val="0"/>
        <charset val="1"/>
      </rPr>
      <t xml:space="preserve">Q </t>
    </r>
    <r>
      <rPr>
        <b val="true"/>
        <sz val="9"/>
        <rFont val="Noto Sans CJK SC"/>
        <family val="2"/>
      </rPr>
      <t xml:space="preserve">대입시
비율 → </t>
    </r>
    <r>
      <rPr>
        <b val="true"/>
        <sz val="9"/>
        <rFont val="Arial"/>
        <family val="0"/>
        <charset val="1"/>
      </rPr>
      <t xml:space="preserve">60%?</t>
    </r>
  </si>
  <si>
    <r>
      <rPr>
        <b val="true"/>
        <sz val="9"/>
        <rFont val="Arial"/>
        <family val="0"/>
        <charset val="1"/>
      </rPr>
      <t xml:space="preserve">60%</t>
    </r>
    <r>
      <rPr>
        <b val="true"/>
        <sz val="9"/>
        <rFont val="Noto Sans CJK SC"/>
        <family val="2"/>
      </rPr>
      <t xml:space="preserve">충족 기준
헤어컷반영
</t>
    </r>
    <r>
      <rPr>
        <b val="true"/>
        <sz val="9"/>
        <rFont val="Arial"/>
        <family val="0"/>
        <charset val="1"/>
      </rPr>
      <t xml:space="preserve">T=D-(M-0.6×O)/(1-K)</t>
    </r>
  </si>
  <si>
    <r>
      <rPr>
        <b val="true"/>
        <sz val="9"/>
        <rFont val="Arial"/>
        <family val="0"/>
        <charset val="1"/>
      </rPr>
      <t xml:space="preserve">T </t>
    </r>
    <r>
      <rPr>
        <b val="true"/>
        <sz val="9"/>
        <rFont val="Noto Sans CJK SC"/>
        <family val="2"/>
      </rPr>
      <t xml:space="preserve">대입시
가용</t>
    </r>
  </si>
  <si>
    <r>
      <rPr>
        <b val="true"/>
        <sz val="9"/>
        <rFont val="Arial"/>
        <family val="0"/>
        <charset val="1"/>
      </rPr>
      <t xml:space="preserve">T </t>
    </r>
    <r>
      <rPr>
        <b val="true"/>
        <sz val="9"/>
        <rFont val="Noto Sans CJK SC"/>
        <family val="2"/>
      </rPr>
      <t xml:space="preserve">대입시
비율 → </t>
    </r>
    <r>
      <rPr>
        <b val="true"/>
        <sz val="9"/>
        <rFont val="Arial"/>
        <family val="0"/>
        <charset val="1"/>
      </rPr>
      <t xml:space="preserve">60%?</t>
    </r>
  </si>
  <si>
    <t xml:space="preserve">03.03</t>
  </si>
  <si>
    <t xml:space="preserve">03.04</t>
  </si>
  <si>
    <t xml:space="preserve">03.05</t>
  </si>
  <si>
    <t xml:space="preserve">03.06</t>
  </si>
  <si>
    <t xml:space="preserve">03.09</t>
  </si>
  <si>
    <t xml:space="preserve">03.10</t>
  </si>
  <si>
    <t xml:space="preserve">03.11</t>
  </si>
  <si>
    <t xml:space="preserve">03.12</t>
  </si>
  <si>
    <t xml:space="preserve">03.13</t>
  </si>
  <si>
    <t xml:space="preserve">03.16</t>
  </si>
  <si>
    <t xml:space="preserve">03.17</t>
  </si>
  <si>
    <t xml:space="preserve">03.18</t>
  </si>
  <si>
    <t xml:space="preserve">03.19</t>
  </si>
  <si>
    <t xml:space="preserve">03.20</t>
  </si>
  <si>
    <t xml:space="preserve">03.23</t>
  </si>
  <si>
    <t xml:space="preserve">03.24</t>
  </si>
  <si>
    <t xml:space="preserve">03.25</t>
  </si>
  <si>
    <t xml:space="preserve">03.26</t>
  </si>
  <si>
    <t xml:space="preserve">03.27</t>
  </si>
  <si>
    <t xml:space="preserve">03.30</t>
  </si>
  <si>
    <t xml:space="preserve">03.31</t>
  </si>
  <si>
    <t xml:space="preserve">04.01</t>
  </si>
  <si>
    <t xml:space="preserve">04.02</t>
  </si>
  <si>
    <t xml:space="preserve">04.03</t>
  </si>
  <si>
    <t xml:space="preserve">04.06</t>
  </si>
  <si>
    <t xml:space="preserve">04.07</t>
  </si>
  <si>
    <t xml:space="preserve">04.08</t>
  </si>
  <si>
    <t xml:space="preserve">04.09</t>
  </si>
  <si>
    <t xml:space="preserve">04.10</t>
  </si>
  <si>
    <t xml:space="preserve">04.13</t>
  </si>
  <si>
    <t xml:space="preserve">04.14</t>
  </si>
  <si>
    <t xml:space="preserve">04.15</t>
  </si>
  <si>
    <t xml:space="preserve">04.16</t>
  </si>
  <si>
    <t xml:space="preserve">04.17</t>
  </si>
  <si>
    <t xml:space="preserve">04.20</t>
  </si>
  <si>
    <t xml:space="preserve">04.21</t>
  </si>
  <si>
    <t xml:space="preserve">04.22</t>
  </si>
  <si>
    <t xml:space="preserve">04.23</t>
  </si>
  <si>
    <t xml:space="preserve">04.24</t>
  </si>
  <si>
    <t xml:space="preserve">04.27</t>
  </si>
  <si>
    <t xml:space="preserve">04.28</t>
  </si>
  <si>
    <t xml:space="preserve">04.29</t>
  </si>
  <si>
    <t xml:space="preserve">04.30</t>
  </si>
  <si>
    <t xml:space="preserve">05.04</t>
  </si>
  <si>
    <t xml:space="preserve">05.06</t>
  </si>
  <si>
    <t xml:space="preserve">05.07</t>
  </si>
  <si>
    <t xml:space="preserve">05.08</t>
  </si>
  <si>
    <t xml:space="preserve">05.11</t>
  </si>
  <si>
    <t xml:space="preserve">05.12</t>
  </si>
  <si>
    <t xml:space="preserve">05.13</t>
  </si>
  <si>
    <t xml:space="preserve">05.14</t>
  </si>
  <si>
    <t xml:space="preserve">05.15</t>
  </si>
  <si>
    <t xml:space="preserve">05.18</t>
  </si>
  <si>
    <t xml:space="preserve">05.19</t>
  </si>
  <si>
    <t xml:space="preserve">05.20</t>
  </si>
  <si>
    <t xml:space="preserve">05.21</t>
  </si>
  <si>
    <t xml:space="preserve">05.22</t>
  </si>
  <si>
    <t xml:space="preserve">05.26</t>
  </si>
  <si>
    <t xml:space="preserve">05.27</t>
  </si>
  <si>
    <t xml:space="preserve">05.28</t>
  </si>
  <si>
    <t xml:space="preserve">05.29</t>
  </si>
  <si>
    <t xml:space="preserve">검증 요약</t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</si>
  <si>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재구성 오차 최대 </t>
    </r>
    <r>
      <rPr>
        <sz val="9"/>
        <rFont val="Arial"/>
        <family val="0"/>
        <charset val="1"/>
      </rPr>
      <t xml:space="preserve">= MAX(|N|) →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</si>
  <si>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현행</t>
    </r>
    <r>
      <rPr>
        <sz val="9"/>
        <rFont val="Arial"/>
        <family val="0"/>
        <charset val="1"/>
      </rPr>
      <t xml:space="preserve">(1:1) </t>
    </r>
    <r>
      <rPr>
        <sz val="9"/>
        <rFont val="Noto Sans CJK SC"/>
        <family val="2"/>
      </rPr>
      <t xml:space="preserve">기준 대입 시 비율 최소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최대 →</t>
    </r>
  </si>
  <si>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헤어컷 반영 기준 대입 시 비율 최소</t>
    </r>
    <r>
      <rPr>
        <b val="true"/>
        <sz val="9"/>
        <rFont val="Arial"/>
        <family val="0"/>
        <charset val="1"/>
      </rPr>
      <t xml:space="preserve">~</t>
    </r>
    <r>
      <rPr>
        <b val="true"/>
        <sz val="9"/>
        <rFont val="Noto Sans CJK SC"/>
        <family val="2"/>
      </rPr>
      <t xml:space="preserve">최대 </t>
    </r>
    <r>
      <rPr>
        <b val="true"/>
        <sz val="9"/>
        <rFont val="Arial"/>
        <family val="0"/>
        <charset val="1"/>
      </rPr>
      <t xml:space="preserve">(60.0%</t>
    </r>
    <r>
      <rPr>
        <b val="true"/>
        <sz val="9"/>
        <rFont val="Noto Sans CJK SC"/>
        <family val="2"/>
      </rPr>
      <t xml:space="preserve">면 검증 성공</t>
    </r>
    <r>
      <rPr>
        <b val="true"/>
        <sz val="9"/>
        <rFont val="Arial"/>
        <family val="0"/>
        <charset val="1"/>
      </rPr>
      <t xml:space="preserve">) →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</si>
</sst>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;[RED]\-0.0"/>
    <numFmt numFmtId="166" formatCode="0%"/>
    <numFmt numFmtId="167" formatCode="0.0%"/>
    <numFmt numFmtId="168" formatCode="General"/>
    <numFmt numFmtId="169" formatCode="0.00"/>
    <numFmt numFmtId="170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8"/>
      <color rgb="FF666666"/>
      <name val="Noto Sans CJK SC"/>
      <family val="2"/>
    </font>
    <font>
      <sz val="8"/>
      <color rgb="FF666666"/>
      <name val="Arial"/>
      <family val="0"/>
      <charset val="1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BDD7EE"/>
        <bgColor rgb="FF99CCFF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E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15"/>
    <col collapsed="false" customWidth="true" hidden="false" outlineLevel="0" max="22" min="22" style="0" width="9"/>
    <col collapsed="false" customWidth="true" hidden="false" outlineLevel="0" max="23" min="23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5" t="s">
        <v>19</v>
      </c>
      <c r="S4" s="5" t="s">
        <v>20</v>
      </c>
      <c r="T4" s="5" t="s">
        <v>21</v>
      </c>
      <c r="U4" s="6" t="s">
        <v>22</v>
      </c>
      <c r="V4" s="6" t="s">
        <v>23</v>
      </c>
      <c r="W4" s="6" t="s">
        <v>24</v>
      </c>
    </row>
    <row r="5" customFormat="false" ht="15" hidden="false" customHeight="false" outlineLevel="0" collapsed="false">
      <c r="A5" s="7" t="s">
        <v>25</v>
      </c>
      <c r="B5" s="8" t="n">
        <v>95</v>
      </c>
      <c r="C5" s="8" t="n">
        <v>103</v>
      </c>
      <c r="D5" s="8" t="n">
        <f aca="false">B5+C5</f>
        <v>198</v>
      </c>
      <c r="E5" s="8" t="n">
        <v>0</v>
      </c>
      <c r="F5" s="8" t="n">
        <v>0</v>
      </c>
      <c r="G5" s="8" t="n">
        <v>138</v>
      </c>
      <c r="H5" s="8" t="n">
        <v>0</v>
      </c>
      <c r="I5" s="8" t="n">
        <v>92</v>
      </c>
      <c r="J5" s="8" t="n">
        <v>0</v>
      </c>
      <c r="K5" s="9" t="n">
        <v>0.12</v>
      </c>
      <c r="L5" s="8" t="n">
        <v>404</v>
      </c>
      <c r="M5" s="8" t="n">
        <f aca="false">(D5+E5-F5)*(1-K5)+G5+I5+J5</f>
        <v>404.24</v>
      </c>
      <c r="N5" s="8" t="n">
        <f aca="false">M5-L5</f>
        <v>0.240000000000009</v>
      </c>
      <c r="O5" s="8" t="n">
        <v>403</v>
      </c>
      <c r="P5" s="10" t="n">
        <v>1.00248138957816</v>
      </c>
      <c r="Q5" s="10" t="n">
        <f aca="false">M5/O5</f>
        <v>1.00307692307692</v>
      </c>
      <c r="R5" s="11" t="n">
        <f aca="false">D5-(M5-0.6*O5)</f>
        <v>35.56</v>
      </c>
      <c r="S5" s="11" t="n">
        <f aca="false">(R5+E5-F5)*(1-K5)+G5+I5+J5</f>
        <v>261.2928</v>
      </c>
      <c r="T5" s="12" t="n">
        <f aca="false">S5/O5</f>
        <v>0.648369230769231</v>
      </c>
      <c r="U5" s="13" t="n">
        <f aca="false">D5-(M5-0.6*O5)/(1-K5)</f>
        <v>13.4090909090909</v>
      </c>
      <c r="V5" s="13" t="n">
        <f aca="false">(U5+E5-F5)*(1-K5)+G5+I5+J5</f>
        <v>241.8</v>
      </c>
      <c r="W5" s="14" t="n">
        <f aca="false">V5/O5</f>
        <v>0.6</v>
      </c>
    </row>
    <row r="6" customFormat="false" ht="15" hidden="false" customHeight="false" outlineLevel="0" collapsed="false">
      <c r="A6" s="7" t="s">
        <v>26</v>
      </c>
      <c r="B6" s="8" t="n">
        <v>1</v>
      </c>
      <c r="C6" s="8" t="n">
        <v>90</v>
      </c>
      <c r="D6" s="8" t="n">
        <f aca="false">B6+C6</f>
        <v>91</v>
      </c>
      <c r="E6" s="8" t="n">
        <v>0</v>
      </c>
      <c r="F6" s="8" t="n">
        <v>0</v>
      </c>
      <c r="G6" s="8" t="n">
        <v>138</v>
      </c>
      <c r="H6" s="8" t="n">
        <v>0</v>
      </c>
      <c r="I6" s="8" t="n">
        <v>92</v>
      </c>
      <c r="J6" s="8" t="n">
        <v>0</v>
      </c>
      <c r="K6" s="9" t="n">
        <v>0.12</v>
      </c>
      <c r="L6" s="8" t="n">
        <v>310</v>
      </c>
      <c r="M6" s="8" t="n">
        <f aca="false">(D6+E6-F6)*(1-K6)+G6+I6+J6</f>
        <v>310.08</v>
      </c>
      <c r="N6" s="8" t="n">
        <f aca="false">M6-L6</f>
        <v>0.0799999999999841</v>
      </c>
      <c r="O6" s="8" t="n">
        <v>399</v>
      </c>
      <c r="P6" s="10" t="n">
        <v>0.776942355889724</v>
      </c>
      <c r="Q6" s="10" t="n">
        <f aca="false">M6/O6</f>
        <v>0.777142857142857</v>
      </c>
      <c r="R6" s="11" t="n">
        <f aca="false">D6-(M6-0.6*O6)</f>
        <v>20.32</v>
      </c>
      <c r="S6" s="11" t="n">
        <f aca="false">(R6+E6-F6)*(1-K6)+G6+I6+J6</f>
        <v>247.8816</v>
      </c>
      <c r="T6" s="12" t="n">
        <f aca="false">S6/O6</f>
        <v>0.621257142857143</v>
      </c>
      <c r="U6" s="13" t="n">
        <f aca="false">D6-(M6-0.6*O6)/(1-K6)</f>
        <v>10.6818181818182</v>
      </c>
      <c r="V6" s="13" t="n">
        <f aca="false">(U6+E6-F6)*(1-K6)+G6+I6+J6</f>
        <v>239.4</v>
      </c>
      <c r="W6" s="14" t="n">
        <f aca="false">V6/O6</f>
        <v>0.6</v>
      </c>
    </row>
    <row r="7" customFormat="false" ht="15" hidden="false" customHeight="false" outlineLevel="0" collapsed="false">
      <c r="A7" s="7" t="s">
        <v>27</v>
      </c>
      <c r="B7" s="8" t="n">
        <v>4</v>
      </c>
      <c r="C7" s="8" t="n">
        <v>101</v>
      </c>
      <c r="D7" s="8" t="n">
        <f aca="false">B7+C7</f>
        <v>105</v>
      </c>
      <c r="E7" s="8" t="n">
        <v>0</v>
      </c>
      <c r="F7" s="8" t="n">
        <v>0</v>
      </c>
      <c r="G7" s="8" t="n">
        <v>138</v>
      </c>
      <c r="H7" s="8" t="n">
        <v>0</v>
      </c>
      <c r="I7" s="8" t="n">
        <v>92</v>
      </c>
      <c r="J7" s="8" t="n">
        <v>0</v>
      </c>
      <c r="K7" s="9" t="n">
        <v>0.12</v>
      </c>
      <c r="L7" s="8" t="n">
        <v>322</v>
      </c>
      <c r="M7" s="8" t="n">
        <f aca="false">(D7+E7-F7)*(1-K7)+G7+I7+J7</f>
        <v>322.4</v>
      </c>
      <c r="N7" s="8" t="n">
        <f aca="false">M7-L7</f>
        <v>0.399999999999977</v>
      </c>
      <c r="O7" s="8" t="n">
        <v>401</v>
      </c>
      <c r="P7" s="10" t="n">
        <v>0.802992518703242</v>
      </c>
      <c r="Q7" s="10" t="n">
        <f aca="false">M7/O7</f>
        <v>0.803990024937656</v>
      </c>
      <c r="R7" s="11" t="n">
        <f aca="false">D7-(M7-0.6*O7)</f>
        <v>23.2</v>
      </c>
      <c r="S7" s="11" t="n">
        <f aca="false">(R7+E7-F7)*(1-K7)+G7+I7+J7</f>
        <v>250.416</v>
      </c>
      <c r="T7" s="12" t="n">
        <f aca="false">S7/O7</f>
        <v>0.624478802992519</v>
      </c>
      <c r="U7" s="13" t="n">
        <f aca="false">D7-(M7-0.6*O7)/(1-K7)</f>
        <v>12.0454545454546</v>
      </c>
      <c r="V7" s="13" t="n">
        <f aca="false">(U7+E7-F7)*(1-K7)+G7+I7+J7</f>
        <v>240.6</v>
      </c>
      <c r="W7" s="14" t="n">
        <f aca="false">V7/O7</f>
        <v>0.6</v>
      </c>
    </row>
    <row r="8" customFormat="false" ht="15" hidden="false" customHeight="false" outlineLevel="0" collapsed="false">
      <c r="A8" s="7" t="s">
        <v>28</v>
      </c>
      <c r="B8" s="8" t="n">
        <v>1</v>
      </c>
      <c r="C8" s="8" t="n">
        <v>101</v>
      </c>
      <c r="D8" s="8" t="n">
        <f aca="false">B8+C8</f>
        <v>102</v>
      </c>
      <c r="E8" s="8" t="n">
        <v>0</v>
      </c>
      <c r="F8" s="8" t="n">
        <v>0</v>
      </c>
      <c r="G8" s="8" t="n">
        <v>138</v>
      </c>
      <c r="H8" s="8" t="n">
        <v>0</v>
      </c>
      <c r="I8" s="8" t="n">
        <v>92</v>
      </c>
      <c r="J8" s="8" t="n">
        <v>0</v>
      </c>
      <c r="K8" s="9" t="n">
        <v>0.12</v>
      </c>
      <c r="L8" s="8" t="n">
        <v>320</v>
      </c>
      <c r="M8" s="8" t="n">
        <f aca="false">(D8+E8-F8)*(1-K8)+G8+I8+J8</f>
        <v>319.76</v>
      </c>
      <c r="N8" s="8" t="n">
        <f aca="false">M8-L8</f>
        <v>-0.240000000000009</v>
      </c>
      <c r="O8" s="8" t="n">
        <v>401</v>
      </c>
      <c r="P8" s="10" t="n">
        <v>0.798004987531172</v>
      </c>
      <c r="Q8" s="10" t="n">
        <f aca="false">M8/O8</f>
        <v>0.797406483790524</v>
      </c>
      <c r="R8" s="11" t="n">
        <f aca="false">D8-(M8-0.6*O8)</f>
        <v>22.84</v>
      </c>
      <c r="S8" s="11" t="n">
        <f aca="false">(R8+E8-F8)*(1-K8)+G8+I8+J8</f>
        <v>250.0992</v>
      </c>
      <c r="T8" s="12" t="n">
        <f aca="false">S8/O8</f>
        <v>0.623688778054863</v>
      </c>
      <c r="U8" s="13" t="n">
        <f aca="false">D8-(M8-0.6*O8)/(1-K8)</f>
        <v>12.0454545454545</v>
      </c>
      <c r="V8" s="13" t="n">
        <f aca="false">(U8+E8-F8)*(1-K8)+G8+I8+J8</f>
        <v>240.6</v>
      </c>
      <c r="W8" s="14" t="n">
        <f aca="false">V8/O8</f>
        <v>0.6</v>
      </c>
    </row>
    <row r="9" customFormat="false" ht="15" hidden="false" customHeight="false" outlineLevel="0" collapsed="false">
      <c r="A9" s="7" t="s">
        <v>29</v>
      </c>
      <c r="B9" s="8" t="n">
        <v>-37</v>
      </c>
      <c r="C9" s="8" t="n">
        <v>115</v>
      </c>
      <c r="D9" s="8" t="n">
        <f aca="false">B9+C9</f>
        <v>78</v>
      </c>
      <c r="E9" s="8" t="n">
        <v>0</v>
      </c>
      <c r="F9" s="8" t="n">
        <v>0</v>
      </c>
      <c r="G9" s="8" t="n">
        <v>138</v>
      </c>
      <c r="H9" s="8" t="n">
        <v>0</v>
      </c>
      <c r="I9" s="8" t="n">
        <v>92</v>
      </c>
      <c r="J9" s="8" t="n">
        <v>0</v>
      </c>
      <c r="K9" s="9" t="n">
        <v>0.11</v>
      </c>
      <c r="L9" s="8" t="n">
        <v>299</v>
      </c>
      <c r="M9" s="8" t="n">
        <f aca="false">(D9+E9-F9)*(1-K9)+G9+I9+J9</f>
        <v>299.42</v>
      </c>
      <c r="N9" s="8" t="n">
        <f aca="false">M9-L9</f>
        <v>0.420000000000016</v>
      </c>
      <c r="O9" s="8" t="n">
        <v>402</v>
      </c>
      <c r="P9" s="10" t="n">
        <v>0.743781094527363</v>
      </c>
      <c r="Q9" s="10" t="n">
        <f aca="false">M9/O9</f>
        <v>0.744825870646766</v>
      </c>
      <c r="R9" s="11" t="n">
        <f aca="false">D9-(M9-0.6*O9)</f>
        <v>19.78</v>
      </c>
      <c r="S9" s="11" t="n">
        <f aca="false">(R9+E9-F9)*(1-K9)+G9+I9+J9</f>
        <v>247.6042</v>
      </c>
      <c r="T9" s="12" t="n">
        <f aca="false">S9/O9</f>
        <v>0.615930845771144</v>
      </c>
      <c r="U9" s="13" t="n">
        <f aca="false">D9-(M9-0.6*O9)/(1-K9)</f>
        <v>12.5842696629213</v>
      </c>
      <c r="V9" s="13" t="n">
        <f aca="false">(U9+E9-F9)*(1-K9)+G9+I9+J9</f>
        <v>241.2</v>
      </c>
      <c r="W9" s="14" t="n">
        <f aca="false">V9/O9</f>
        <v>0.6</v>
      </c>
    </row>
    <row r="10" customFormat="false" ht="15" hidden="false" customHeight="false" outlineLevel="0" collapsed="false">
      <c r="A10" s="7" t="s">
        <v>30</v>
      </c>
      <c r="B10" s="8" t="n">
        <v>-33</v>
      </c>
      <c r="C10" s="8" t="n">
        <v>90</v>
      </c>
      <c r="D10" s="8" t="n">
        <f aca="false">B10+C10</f>
        <v>57</v>
      </c>
      <c r="E10" s="8" t="n">
        <v>0</v>
      </c>
      <c r="F10" s="8" t="n">
        <v>0</v>
      </c>
      <c r="G10" s="8" t="n">
        <v>138</v>
      </c>
      <c r="H10" s="8" t="n">
        <v>0</v>
      </c>
      <c r="I10" s="8" t="n">
        <v>92</v>
      </c>
      <c r="J10" s="8" t="n">
        <v>0</v>
      </c>
      <c r="K10" s="9" t="n">
        <v>0.11</v>
      </c>
      <c r="L10" s="8" t="n">
        <v>281</v>
      </c>
      <c r="M10" s="8" t="n">
        <f aca="false">(D10+E10-F10)*(1-K10)+G10+I10+J10</f>
        <v>280.73</v>
      </c>
      <c r="N10" s="8" t="n">
        <f aca="false">M10-L10</f>
        <v>-0.269999999999982</v>
      </c>
      <c r="O10" s="8" t="n">
        <v>409</v>
      </c>
      <c r="P10" s="10" t="n">
        <v>0.687041564792176</v>
      </c>
      <c r="Q10" s="10" t="n">
        <f aca="false">M10/O10</f>
        <v>0.68638141809291</v>
      </c>
      <c r="R10" s="11" t="n">
        <f aca="false">D10-(M10-0.6*O10)</f>
        <v>21.67</v>
      </c>
      <c r="S10" s="11" t="n">
        <f aca="false">(R10+E10-F10)*(1-K10)+G10+I10+J10</f>
        <v>249.2863</v>
      </c>
      <c r="T10" s="12" t="n">
        <f aca="false">S10/O10</f>
        <v>0.60950195599022</v>
      </c>
      <c r="U10" s="13" t="n">
        <f aca="false">D10-(M10-0.6*O10)/(1-K10)</f>
        <v>17.3033707865168</v>
      </c>
      <c r="V10" s="13" t="n">
        <f aca="false">(U10+E10-F10)*(1-K10)+G10+I10+J10</f>
        <v>245.4</v>
      </c>
      <c r="W10" s="14" t="n">
        <f aca="false">V10/O10</f>
        <v>0.6</v>
      </c>
    </row>
    <row r="11" customFormat="false" ht="15" hidden="false" customHeight="false" outlineLevel="0" collapsed="false">
      <c r="A11" s="7" t="s">
        <v>31</v>
      </c>
      <c r="B11" s="8" t="n">
        <v>-52</v>
      </c>
      <c r="C11" s="8" t="n">
        <v>91</v>
      </c>
      <c r="D11" s="8" t="n">
        <f aca="false">B11+C11</f>
        <v>39</v>
      </c>
      <c r="E11" s="8" t="n">
        <v>0</v>
      </c>
      <c r="F11" s="8" t="n">
        <v>0</v>
      </c>
      <c r="G11" s="8" t="n">
        <v>138</v>
      </c>
      <c r="H11" s="8" t="n">
        <v>0</v>
      </c>
      <c r="I11" s="8" t="n">
        <v>92</v>
      </c>
      <c r="J11" s="8" t="n">
        <v>0</v>
      </c>
      <c r="K11" s="9" t="n">
        <v>0.11</v>
      </c>
      <c r="L11" s="8" t="n">
        <v>265</v>
      </c>
      <c r="M11" s="8" t="n">
        <f aca="false">(D11+E11-F11)*(1-K11)+G11+I11+J11</f>
        <v>264.71</v>
      </c>
      <c r="N11" s="8" t="n">
        <f aca="false">M11-L11</f>
        <v>-0.289999999999964</v>
      </c>
      <c r="O11" s="8" t="n">
        <v>408</v>
      </c>
      <c r="P11" s="10" t="n">
        <v>0.649509803921569</v>
      </c>
      <c r="Q11" s="10" t="n">
        <f aca="false">M11/O11</f>
        <v>0.648799019607843</v>
      </c>
      <c r="R11" s="11" t="n">
        <f aca="false">D11-(M11-0.6*O11)</f>
        <v>19.0899999999999</v>
      </c>
      <c r="S11" s="11" t="n">
        <f aca="false">(R11+E11-F11)*(1-K11)+G11+I11+J11</f>
        <v>246.9901</v>
      </c>
      <c r="T11" s="12" t="n">
        <f aca="false">S11/O11</f>
        <v>0.605367892156863</v>
      </c>
      <c r="U11" s="13" t="n">
        <f aca="false">D11-(M11-0.6*O11)/(1-K11)</f>
        <v>16.629213483146</v>
      </c>
      <c r="V11" s="13" t="n">
        <f aca="false">(U11+E11-F11)*(1-K11)+G11+I11+J11</f>
        <v>244.8</v>
      </c>
      <c r="W11" s="14" t="n">
        <f aca="false">V11/O11</f>
        <v>0.6</v>
      </c>
    </row>
    <row r="12" customFormat="false" ht="15" hidden="false" customHeight="false" outlineLevel="0" collapsed="false">
      <c r="A12" s="7" t="s">
        <v>32</v>
      </c>
      <c r="B12" s="8" t="n">
        <v>-2</v>
      </c>
      <c r="C12" s="8" t="n">
        <v>76</v>
      </c>
      <c r="D12" s="8" t="n">
        <f aca="false">B12+C12</f>
        <v>74</v>
      </c>
      <c r="E12" s="8" t="n">
        <v>0</v>
      </c>
      <c r="F12" s="8" t="n">
        <v>0</v>
      </c>
      <c r="G12" s="8" t="n">
        <v>138</v>
      </c>
      <c r="H12" s="8" t="n">
        <v>0</v>
      </c>
      <c r="I12" s="8" t="n">
        <v>92</v>
      </c>
      <c r="J12" s="8" t="n">
        <v>0</v>
      </c>
      <c r="K12" s="9" t="n">
        <v>0.11</v>
      </c>
      <c r="L12" s="8" t="n">
        <v>296</v>
      </c>
      <c r="M12" s="8" t="n">
        <f aca="false">(D12+E12-F12)*(1-K12)+G12+I12+J12</f>
        <v>295.86</v>
      </c>
      <c r="N12" s="8" t="n">
        <f aca="false">M12-L12</f>
        <v>-0.139999999999986</v>
      </c>
      <c r="O12" s="8" t="n">
        <v>406</v>
      </c>
      <c r="P12" s="10" t="n">
        <v>0.729064039408867</v>
      </c>
      <c r="Q12" s="10" t="n">
        <f aca="false">M12/O12</f>
        <v>0.72871921182266</v>
      </c>
      <c r="R12" s="11" t="n">
        <f aca="false">D12-(M12-0.6*O12)</f>
        <v>21.74</v>
      </c>
      <c r="S12" s="11" t="n">
        <f aca="false">(R12+E12-F12)*(1-K12)+G12+I12+J12</f>
        <v>249.3486</v>
      </c>
      <c r="T12" s="12" t="n">
        <f aca="false">S12/O12</f>
        <v>0.614159113300493</v>
      </c>
      <c r="U12" s="13" t="n">
        <f aca="false">D12-(M12-0.6*O12)/(1-K12)</f>
        <v>15.2808988764045</v>
      </c>
      <c r="V12" s="13" t="n">
        <f aca="false">(U12+E12-F12)*(1-K12)+G12+I12+J12</f>
        <v>243.6</v>
      </c>
      <c r="W12" s="14" t="n">
        <f aca="false">V12/O12</f>
        <v>0.6</v>
      </c>
    </row>
    <row r="13" customFormat="false" ht="15" hidden="false" customHeight="false" outlineLevel="0" collapsed="false">
      <c r="A13" s="7" t="s">
        <v>33</v>
      </c>
      <c r="B13" s="8" t="n">
        <v>-22</v>
      </c>
      <c r="C13" s="8" t="n">
        <v>92</v>
      </c>
      <c r="D13" s="8" t="n">
        <f aca="false">B13+C13</f>
        <v>70</v>
      </c>
      <c r="E13" s="8" t="n">
        <v>0</v>
      </c>
      <c r="F13" s="8" t="n">
        <v>0</v>
      </c>
      <c r="G13" s="8" t="n">
        <v>138</v>
      </c>
      <c r="H13" s="8" t="n">
        <v>0</v>
      </c>
      <c r="I13" s="8" t="n">
        <v>92</v>
      </c>
      <c r="J13" s="8" t="n">
        <v>0</v>
      </c>
      <c r="K13" s="9" t="n">
        <v>0.11</v>
      </c>
      <c r="L13" s="8" t="n">
        <v>292</v>
      </c>
      <c r="M13" s="8" t="n">
        <f aca="false">(D13+E13-F13)*(1-K13)+G13+I13+J13</f>
        <v>292.3</v>
      </c>
      <c r="N13" s="8" t="n">
        <f aca="false">M13-L13</f>
        <v>0.300000000000011</v>
      </c>
      <c r="O13" s="8" t="n">
        <v>385</v>
      </c>
      <c r="P13" s="10" t="n">
        <v>0.758441558441559</v>
      </c>
      <c r="Q13" s="10" t="n">
        <f aca="false">M13/O13</f>
        <v>0.759220779220779</v>
      </c>
      <c r="R13" s="11" t="n">
        <f aca="false">D13-(M13-0.6*O13)</f>
        <v>8.69999999999999</v>
      </c>
      <c r="S13" s="11" t="n">
        <f aca="false">(R13+E13-F13)*(1-K13)+G13+I13+J13</f>
        <v>237.743</v>
      </c>
      <c r="T13" s="12" t="n">
        <f aca="false">S13/O13</f>
        <v>0.617514285714286</v>
      </c>
      <c r="U13" s="13" t="n">
        <f aca="false">D13-(M13-0.6*O13)/(1-K13)</f>
        <v>1.12359550561797</v>
      </c>
      <c r="V13" s="13" t="n">
        <f aca="false">(U13+E13-F13)*(1-K13)+G13+I13+J13</f>
        <v>231</v>
      </c>
      <c r="W13" s="14" t="n">
        <f aca="false">V13/O13</f>
        <v>0.6</v>
      </c>
    </row>
    <row r="14" customFormat="false" ht="15" hidden="false" customHeight="false" outlineLevel="0" collapsed="false">
      <c r="A14" s="7" t="s">
        <v>34</v>
      </c>
      <c r="B14" s="8" t="n">
        <v>8</v>
      </c>
      <c r="C14" s="8" t="n">
        <v>96</v>
      </c>
      <c r="D14" s="8" t="n">
        <f aca="false">B14+C14</f>
        <v>104</v>
      </c>
      <c r="E14" s="8" t="n">
        <v>0</v>
      </c>
      <c r="F14" s="8" t="n">
        <v>0</v>
      </c>
      <c r="G14" s="8" t="n">
        <v>138</v>
      </c>
      <c r="H14" s="8" t="n">
        <v>0</v>
      </c>
      <c r="I14" s="8" t="n">
        <v>92</v>
      </c>
      <c r="J14" s="8" t="n">
        <v>0</v>
      </c>
      <c r="K14" s="9" t="n">
        <v>0.11</v>
      </c>
      <c r="L14" s="8" t="n">
        <v>323</v>
      </c>
      <c r="M14" s="8" t="n">
        <f aca="false">(D14+E14-F14)*(1-K14)+G14+I14+J14</f>
        <v>322.56</v>
      </c>
      <c r="N14" s="8" t="n">
        <f aca="false">M14-L14</f>
        <v>-0.439999999999998</v>
      </c>
      <c r="O14" s="8" t="n">
        <v>408</v>
      </c>
      <c r="P14" s="10" t="n">
        <v>0.791666666666667</v>
      </c>
      <c r="Q14" s="10" t="n">
        <f aca="false">M14/O14</f>
        <v>0.790588235294118</v>
      </c>
      <c r="R14" s="11" t="n">
        <f aca="false">D14-(M14-0.6*O14)</f>
        <v>26.24</v>
      </c>
      <c r="S14" s="11" t="n">
        <f aca="false">(R14+E14-F14)*(1-K14)+G14+I14+J14</f>
        <v>253.3536</v>
      </c>
      <c r="T14" s="12" t="n">
        <f aca="false">S14/O14</f>
        <v>0.620964705882353</v>
      </c>
      <c r="U14" s="13" t="n">
        <f aca="false">D14-(M14-0.6*O14)/(1-K14)</f>
        <v>16.629213483146</v>
      </c>
      <c r="V14" s="13" t="n">
        <f aca="false">(U14+E14-F14)*(1-K14)+G14+I14+J14</f>
        <v>244.8</v>
      </c>
      <c r="W14" s="14" t="n">
        <f aca="false">V14/O14</f>
        <v>0.6</v>
      </c>
    </row>
    <row r="15" customFormat="false" ht="15" hidden="false" customHeight="false" outlineLevel="0" collapsed="false">
      <c r="A15" s="7" t="s">
        <v>35</v>
      </c>
      <c r="B15" s="8" t="n">
        <v>0</v>
      </c>
      <c r="C15" s="8" t="n">
        <v>74</v>
      </c>
      <c r="D15" s="8" t="n">
        <f aca="false">B15+C15</f>
        <v>74</v>
      </c>
      <c r="E15" s="8" t="n">
        <v>0</v>
      </c>
      <c r="F15" s="8" t="n">
        <v>0</v>
      </c>
      <c r="G15" s="8" t="n">
        <v>138</v>
      </c>
      <c r="H15" s="8" t="n">
        <v>0</v>
      </c>
      <c r="I15" s="8" t="n">
        <v>92</v>
      </c>
      <c r="J15" s="8" t="n">
        <v>0</v>
      </c>
      <c r="K15" s="9" t="n">
        <v>0.11</v>
      </c>
      <c r="L15" s="8" t="n">
        <v>296</v>
      </c>
      <c r="M15" s="8" t="n">
        <f aca="false">(D15+E15-F15)*(1-K15)+G15+I15+J15</f>
        <v>295.86</v>
      </c>
      <c r="N15" s="8" t="n">
        <f aca="false">M15-L15</f>
        <v>-0.139999999999986</v>
      </c>
      <c r="O15" s="8" t="n">
        <v>413</v>
      </c>
      <c r="P15" s="10" t="n">
        <v>0.716707021791768</v>
      </c>
      <c r="Q15" s="10" t="n">
        <f aca="false">M15/O15</f>
        <v>0.71636803874092</v>
      </c>
      <c r="R15" s="11" t="n">
        <f aca="false">D15-(M15-0.6*O15)</f>
        <v>25.94</v>
      </c>
      <c r="S15" s="11" t="n">
        <f aca="false">(R15+E15-F15)*(1-K15)+G15+I15+J15</f>
        <v>253.0866</v>
      </c>
      <c r="T15" s="12" t="n">
        <f aca="false">S15/O15</f>
        <v>0.612800484261501</v>
      </c>
      <c r="U15" s="13" t="n">
        <f aca="false">D15-(M15-0.6*O15)/(1-K15)</f>
        <v>20</v>
      </c>
      <c r="V15" s="13" t="n">
        <f aca="false">(U15+E15-F15)*(1-K15)+G15+I15+J15</f>
        <v>247.8</v>
      </c>
      <c r="W15" s="14" t="n">
        <f aca="false">V15/O15</f>
        <v>0.6</v>
      </c>
    </row>
    <row r="16" customFormat="false" ht="15" hidden="false" customHeight="false" outlineLevel="0" collapsed="false">
      <c r="A16" s="7" t="s">
        <v>36</v>
      </c>
      <c r="B16" s="8" t="n">
        <v>-48</v>
      </c>
      <c r="C16" s="8" t="n">
        <v>80</v>
      </c>
      <c r="D16" s="8" t="n">
        <f aca="false">B16+C16</f>
        <v>32</v>
      </c>
      <c r="E16" s="8" t="n">
        <v>0</v>
      </c>
      <c r="F16" s="8" t="n">
        <v>0</v>
      </c>
      <c r="G16" s="8" t="n">
        <v>138</v>
      </c>
      <c r="H16" s="8" t="n">
        <v>0</v>
      </c>
      <c r="I16" s="8" t="n">
        <v>92</v>
      </c>
      <c r="J16" s="8" t="n">
        <v>0</v>
      </c>
      <c r="K16" s="9" t="n">
        <v>0.11</v>
      </c>
      <c r="L16" s="8" t="n">
        <v>258</v>
      </c>
      <c r="M16" s="8" t="n">
        <f aca="false">(D16+E16-F16)*(1-K16)+G16+I16+J16</f>
        <v>258.48</v>
      </c>
      <c r="N16" s="8" t="n">
        <f aca="false">M16-L16</f>
        <v>0.480000000000018</v>
      </c>
      <c r="O16" s="8" t="n">
        <v>407</v>
      </c>
      <c r="P16" s="10" t="n">
        <v>0.633906633906634</v>
      </c>
      <c r="Q16" s="10" t="n">
        <f aca="false">M16/O16</f>
        <v>0.635085995085995</v>
      </c>
      <c r="R16" s="11" t="n">
        <f aca="false">D16-(M16-0.6*O16)</f>
        <v>17.72</v>
      </c>
      <c r="S16" s="11" t="n">
        <f aca="false">(R16+E16-F16)*(1-K16)+G16+I16+J16</f>
        <v>245.7708</v>
      </c>
      <c r="T16" s="12" t="n">
        <f aca="false">S16/O16</f>
        <v>0.603859459459459</v>
      </c>
      <c r="U16" s="13" t="n">
        <f aca="false">D16-(M16-0.6*O16)/(1-K16)</f>
        <v>15.9550561797752</v>
      </c>
      <c r="V16" s="13" t="n">
        <f aca="false">(U16+E16-F16)*(1-K16)+G16+I16+J16</f>
        <v>244.2</v>
      </c>
      <c r="W16" s="14" t="n">
        <f aca="false">V16/O16</f>
        <v>0.6</v>
      </c>
    </row>
    <row r="17" customFormat="false" ht="15" hidden="false" customHeight="false" outlineLevel="0" collapsed="false">
      <c r="A17" s="7" t="s">
        <v>37</v>
      </c>
      <c r="B17" s="8" t="n">
        <v>-27</v>
      </c>
      <c r="C17" s="8" t="n">
        <v>99</v>
      </c>
      <c r="D17" s="8" t="n">
        <f aca="false">B17+C17</f>
        <v>72</v>
      </c>
      <c r="E17" s="8" t="n">
        <v>0</v>
      </c>
      <c r="F17" s="8" t="n">
        <v>0</v>
      </c>
      <c r="G17" s="8" t="n">
        <v>138</v>
      </c>
      <c r="H17" s="8" t="n">
        <v>0</v>
      </c>
      <c r="I17" s="8" t="n">
        <v>91</v>
      </c>
      <c r="J17" s="8" t="n">
        <v>0</v>
      </c>
      <c r="K17" s="9" t="n">
        <v>0.11</v>
      </c>
      <c r="L17" s="8" t="n">
        <v>293</v>
      </c>
      <c r="M17" s="8" t="n">
        <f aca="false">(D17+E17-F17)*(1-K17)+G17+I17+J17</f>
        <v>293.08</v>
      </c>
      <c r="N17" s="8" t="n">
        <f aca="false">M17-L17</f>
        <v>0.0799999999999841</v>
      </c>
      <c r="O17" s="8" t="n">
        <v>411</v>
      </c>
      <c r="P17" s="10" t="n">
        <v>0.712895377128954</v>
      </c>
      <c r="Q17" s="10" t="n">
        <f aca="false">M17/O17</f>
        <v>0.7130900243309</v>
      </c>
      <c r="R17" s="11" t="n">
        <f aca="false">D17-(M17-0.6*O17)</f>
        <v>25.52</v>
      </c>
      <c r="S17" s="11" t="n">
        <f aca="false">(R17+E17-F17)*(1-K17)+G17+I17+J17</f>
        <v>251.7128</v>
      </c>
      <c r="T17" s="12" t="n">
        <f aca="false">S17/O17</f>
        <v>0.612439902676399</v>
      </c>
      <c r="U17" s="13" t="n">
        <f aca="false">D17-(M17-0.6*O17)/(1-K17)</f>
        <v>19.7752808988764</v>
      </c>
      <c r="V17" s="13" t="n">
        <f aca="false">(U17+E17-F17)*(1-K17)+G17+I17+J17</f>
        <v>246.6</v>
      </c>
      <c r="W17" s="14" t="n">
        <f aca="false">V17/O17</f>
        <v>0.6</v>
      </c>
    </row>
    <row r="18" customFormat="false" ht="15" hidden="false" customHeight="false" outlineLevel="0" collapsed="false">
      <c r="A18" s="7" t="s">
        <v>38</v>
      </c>
      <c r="B18" s="8" t="n">
        <v>33</v>
      </c>
      <c r="C18" s="8" t="n">
        <v>110</v>
      </c>
      <c r="D18" s="8" t="n">
        <f aca="false">B18+C18</f>
        <v>143</v>
      </c>
      <c r="E18" s="8" t="n">
        <v>0</v>
      </c>
      <c r="F18" s="8" t="n">
        <v>0</v>
      </c>
      <c r="G18" s="8" t="n">
        <v>138</v>
      </c>
      <c r="H18" s="8" t="n">
        <v>0</v>
      </c>
      <c r="I18" s="8" t="n">
        <v>91</v>
      </c>
      <c r="J18" s="8" t="n">
        <v>0</v>
      </c>
      <c r="K18" s="9" t="n">
        <v>0.11</v>
      </c>
      <c r="L18" s="8" t="n">
        <v>356</v>
      </c>
      <c r="M18" s="8" t="n">
        <f aca="false">(D18+E18-F18)*(1-K18)+G18+I18+J18</f>
        <v>356.27</v>
      </c>
      <c r="N18" s="8" t="n">
        <f aca="false">M18-L18</f>
        <v>0.269999999999982</v>
      </c>
      <c r="O18" s="8" t="n">
        <v>416</v>
      </c>
      <c r="P18" s="10" t="n">
        <v>0.855769230769231</v>
      </c>
      <c r="Q18" s="10" t="n">
        <f aca="false">M18/O18</f>
        <v>0.856418269230769</v>
      </c>
      <c r="R18" s="11" t="n">
        <f aca="false">D18-(M18-0.6*O18)</f>
        <v>36.33</v>
      </c>
      <c r="S18" s="11" t="n">
        <f aca="false">(R18+E18-F18)*(1-K18)+G18+I18+J18</f>
        <v>261.3337</v>
      </c>
      <c r="T18" s="12" t="n">
        <f aca="false">S18/O18</f>
        <v>0.628206009615385</v>
      </c>
      <c r="U18" s="13" t="n">
        <f aca="false">D18-(M18-0.6*O18)/(1-K18)</f>
        <v>23.1460674157304</v>
      </c>
      <c r="V18" s="13" t="n">
        <f aca="false">(U18+E18-F18)*(1-K18)+G18+I18+J18</f>
        <v>249.6</v>
      </c>
      <c r="W18" s="14" t="n">
        <f aca="false">V18/O18</f>
        <v>0.6</v>
      </c>
    </row>
    <row r="19" customFormat="false" ht="15" hidden="false" customHeight="false" outlineLevel="0" collapsed="false">
      <c r="A19" s="7" t="s">
        <v>39</v>
      </c>
      <c r="B19" s="8" t="n">
        <v>32</v>
      </c>
      <c r="C19" s="8" t="n">
        <v>92</v>
      </c>
      <c r="D19" s="8" t="n">
        <f aca="false">B19+C19</f>
        <v>124</v>
      </c>
      <c r="E19" s="8" t="n">
        <v>0</v>
      </c>
      <c r="F19" s="8" t="n">
        <v>0</v>
      </c>
      <c r="G19" s="8" t="n">
        <v>138</v>
      </c>
      <c r="H19" s="8" t="n">
        <v>0</v>
      </c>
      <c r="I19" s="8" t="n">
        <v>91</v>
      </c>
      <c r="J19" s="8" t="n">
        <v>0</v>
      </c>
      <c r="K19" s="9" t="n">
        <v>0.11</v>
      </c>
      <c r="L19" s="8" t="n">
        <v>339</v>
      </c>
      <c r="M19" s="8" t="n">
        <f aca="false">(D19+E19-F19)*(1-K19)+G19+I19+J19</f>
        <v>339.36</v>
      </c>
      <c r="N19" s="8" t="n">
        <f aca="false">M19-L19</f>
        <v>0.360000000000014</v>
      </c>
      <c r="O19" s="8" t="n">
        <v>409</v>
      </c>
      <c r="P19" s="10" t="n">
        <v>0.828850855745721</v>
      </c>
      <c r="Q19" s="10" t="n">
        <f aca="false">M19/O19</f>
        <v>0.829731051344743</v>
      </c>
      <c r="R19" s="11" t="n">
        <f aca="false">D19-(M19-0.6*O19)</f>
        <v>30.04</v>
      </c>
      <c r="S19" s="11" t="n">
        <f aca="false">(R19+E19-F19)*(1-K19)+G19+I19+J19</f>
        <v>255.7356</v>
      </c>
      <c r="T19" s="12" t="n">
        <f aca="false">S19/O19</f>
        <v>0.625270415647922</v>
      </c>
      <c r="U19" s="13" t="n">
        <f aca="false">D19-(M19-0.6*O19)/(1-K19)</f>
        <v>18.4269662921348</v>
      </c>
      <c r="V19" s="13" t="n">
        <f aca="false">(U19+E19-F19)*(1-K19)+G19+I19+J19</f>
        <v>245.4</v>
      </c>
      <c r="W19" s="14" t="n">
        <f aca="false">V19/O19</f>
        <v>0.6</v>
      </c>
    </row>
    <row r="20" customFormat="false" ht="15" hidden="false" customHeight="false" outlineLevel="0" collapsed="false">
      <c r="A20" s="7" t="s">
        <v>40</v>
      </c>
      <c r="B20" s="8" t="n">
        <v>-17</v>
      </c>
      <c r="C20" s="8" t="n">
        <v>72</v>
      </c>
      <c r="D20" s="8" t="n">
        <f aca="false">B20+C20</f>
        <v>55</v>
      </c>
      <c r="E20" s="8" t="n">
        <v>0</v>
      </c>
      <c r="F20" s="8" t="n">
        <v>0</v>
      </c>
      <c r="G20" s="8" t="n">
        <v>138</v>
      </c>
      <c r="H20" s="8" t="n">
        <v>0</v>
      </c>
      <c r="I20" s="8" t="n">
        <v>94</v>
      </c>
      <c r="J20" s="8" t="n">
        <v>0</v>
      </c>
      <c r="K20" s="9" t="n">
        <v>0.11</v>
      </c>
      <c r="L20" s="8" t="n">
        <v>281</v>
      </c>
      <c r="M20" s="8" t="n">
        <f aca="false">(D20+E20-F20)*(1-K20)+G20+I20+J20</f>
        <v>280.95</v>
      </c>
      <c r="N20" s="8" t="n">
        <f aca="false">M20-L20</f>
        <v>-0.0500000000000114</v>
      </c>
      <c r="O20" s="8" t="n">
        <v>411</v>
      </c>
      <c r="P20" s="10" t="n">
        <v>0.683698296836983</v>
      </c>
      <c r="Q20" s="10" t="n">
        <f aca="false">M20/O20</f>
        <v>0.683576642335766</v>
      </c>
      <c r="R20" s="11" t="n">
        <f aca="false">D20-(M20-0.6*O20)</f>
        <v>20.65</v>
      </c>
      <c r="S20" s="11" t="n">
        <f aca="false">(R20+E20-F20)*(1-K20)+G20+I20+J20</f>
        <v>250.3785</v>
      </c>
      <c r="T20" s="12" t="n">
        <f aca="false">S20/O20</f>
        <v>0.609193430656934</v>
      </c>
      <c r="U20" s="13" t="n">
        <f aca="false">D20-(M20-0.6*O20)/(1-K20)</f>
        <v>16.4044943820225</v>
      </c>
      <c r="V20" s="13" t="n">
        <f aca="false">(U20+E20-F20)*(1-K20)+G20+I20+J20</f>
        <v>246.6</v>
      </c>
      <c r="W20" s="14" t="n">
        <f aca="false">V20/O20</f>
        <v>0.6</v>
      </c>
    </row>
    <row r="21" customFormat="false" ht="15" hidden="false" customHeight="false" outlineLevel="0" collapsed="false">
      <c r="A21" s="7" t="s">
        <v>41</v>
      </c>
      <c r="B21" s="8" t="n">
        <v>-28</v>
      </c>
      <c r="C21" s="8" t="n">
        <v>79</v>
      </c>
      <c r="D21" s="8" t="n">
        <f aca="false">B21+C21</f>
        <v>51</v>
      </c>
      <c r="E21" s="8" t="n">
        <v>0</v>
      </c>
      <c r="F21" s="8" t="n">
        <v>0</v>
      </c>
      <c r="G21" s="8" t="n">
        <v>138</v>
      </c>
      <c r="H21" s="8" t="n">
        <v>0</v>
      </c>
      <c r="I21" s="8" t="n">
        <v>94</v>
      </c>
      <c r="J21" s="8" t="n">
        <v>0</v>
      </c>
      <c r="K21" s="9" t="n">
        <v>0.11</v>
      </c>
      <c r="L21" s="8" t="n">
        <v>277</v>
      </c>
      <c r="M21" s="8" t="n">
        <f aca="false">(D21+E21-F21)*(1-K21)+G21+I21+J21</f>
        <v>277.39</v>
      </c>
      <c r="N21" s="8" t="n">
        <f aca="false">M21-L21</f>
        <v>0.389999999999986</v>
      </c>
      <c r="O21" s="8" t="n">
        <v>412</v>
      </c>
      <c r="P21" s="10" t="n">
        <v>0.672330097087379</v>
      </c>
      <c r="Q21" s="10" t="n">
        <f aca="false">M21/O21</f>
        <v>0.673276699029126</v>
      </c>
      <c r="R21" s="11" t="n">
        <f aca="false">D21-(M21-0.6*O21)</f>
        <v>20.81</v>
      </c>
      <c r="S21" s="11" t="n">
        <f aca="false">(R21+E21-F21)*(1-K21)+G21+I21+J21</f>
        <v>250.5209</v>
      </c>
      <c r="T21" s="12" t="n">
        <f aca="false">S21/O21</f>
        <v>0.608060436893204</v>
      </c>
      <c r="U21" s="13" t="n">
        <f aca="false">D21-(M21-0.6*O21)/(1-K21)</f>
        <v>17.0786516853933</v>
      </c>
      <c r="V21" s="13" t="n">
        <f aca="false">(U21+E21-F21)*(1-K21)+G21+I21+J21</f>
        <v>247.2</v>
      </c>
      <c r="W21" s="14" t="n">
        <f aca="false">V21/O21</f>
        <v>0.6</v>
      </c>
    </row>
    <row r="22" customFormat="false" ht="15" hidden="false" customHeight="false" outlineLevel="0" collapsed="false">
      <c r="A22" s="7" t="s">
        <v>42</v>
      </c>
      <c r="B22" s="8" t="n">
        <v>-37</v>
      </c>
      <c r="C22" s="8" t="n">
        <v>79</v>
      </c>
      <c r="D22" s="8" t="n">
        <f aca="false">B22+C22</f>
        <v>42</v>
      </c>
      <c r="E22" s="8" t="n">
        <v>0</v>
      </c>
      <c r="F22" s="8" t="n">
        <v>0</v>
      </c>
      <c r="G22" s="8" t="n">
        <v>138</v>
      </c>
      <c r="H22" s="8" t="n">
        <v>0</v>
      </c>
      <c r="I22" s="8" t="n">
        <v>94</v>
      </c>
      <c r="J22" s="8" t="n">
        <v>0</v>
      </c>
      <c r="K22" s="9" t="n">
        <v>0.11</v>
      </c>
      <c r="L22" s="8" t="n">
        <v>269</v>
      </c>
      <c r="M22" s="8" t="n">
        <f aca="false">(D22+E22-F22)*(1-K22)+G22+I22+J22</f>
        <v>269.38</v>
      </c>
      <c r="N22" s="8" t="n">
        <f aca="false">M22-L22</f>
        <v>0.379999999999995</v>
      </c>
      <c r="O22" s="8" t="n">
        <v>417</v>
      </c>
      <c r="P22" s="10" t="n">
        <v>0.645083932853717</v>
      </c>
      <c r="Q22" s="10" t="n">
        <f aca="false">M22/O22</f>
        <v>0.64599520383693</v>
      </c>
      <c r="R22" s="11" t="n">
        <f aca="false">D22-(M22-0.6*O22)</f>
        <v>22.82</v>
      </c>
      <c r="S22" s="11" t="n">
        <f aca="false">(R22+E22-F22)*(1-K22)+G22+I22+J22</f>
        <v>252.3098</v>
      </c>
      <c r="T22" s="12" t="n">
        <f aca="false">S22/O22</f>
        <v>0.605059472422062</v>
      </c>
      <c r="U22" s="13" t="n">
        <f aca="false">D22-(M22-0.6*O22)/(1-K22)</f>
        <v>20.4494382022472</v>
      </c>
      <c r="V22" s="13" t="n">
        <f aca="false">(U22+E22-F22)*(1-K22)+G22+I22+J22</f>
        <v>250.2</v>
      </c>
      <c r="W22" s="14" t="n">
        <f aca="false">V22/O22</f>
        <v>0.6</v>
      </c>
    </row>
    <row r="23" customFormat="false" ht="15" hidden="false" customHeight="false" outlineLevel="0" collapsed="false">
      <c r="A23" s="7" t="s">
        <v>43</v>
      </c>
      <c r="B23" s="8" t="n">
        <v>-13</v>
      </c>
      <c r="C23" s="8" t="n">
        <v>48</v>
      </c>
      <c r="D23" s="8" t="n">
        <f aca="false">B23+C23</f>
        <v>35</v>
      </c>
      <c r="E23" s="8" t="n">
        <v>0</v>
      </c>
      <c r="F23" s="8" t="n">
        <v>0</v>
      </c>
      <c r="G23" s="8" t="n">
        <v>138</v>
      </c>
      <c r="H23" s="8" t="n">
        <v>0</v>
      </c>
      <c r="I23" s="8" t="n">
        <v>94</v>
      </c>
      <c r="J23" s="8" t="n">
        <v>0</v>
      </c>
      <c r="K23" s="9" t="n">
        <v>0.11</v>
      </c>
      <c r="L23" s="8" t="n">
        <v>263</v>
      </c>
      <c r="M23" s="8" t="n">
        <f aca="false">(D23+E23-F23)*(1-K23)+G23+I23+J23</f>
        <v>263.15</v>
      </c>
      <c r="N23" s="8" t="n">
        <f aca="false">M23-L23</f>
        <v>0.149999999999977</v>
      </c>
      <c r="O23" s="8" t="n">
        <v>359</v>
      </c>
      <c r="P23" s="10" t="n">
        <v>0.732590529247911</v>
      </c>
      <c r="Q23" s="10" t="n">
        <f aca="false">M23/O23</f>
        <v>0.733008356545961</v>
      </c>
      <c r="R23" s="11" t="n">
        <f aca="false">D23-(M23-0.6*O23)</f>
        <v>-12.75</v>
      </c>
      <c r="S23" s="11" t="n">
        <f aca="false">(R23+E23-F23)*(1-K23)+G23+I23+J23</f>
        <v>220.6525</v>
      </c>
      <c r="T23" s="12" t="n">
        <f aca="false">S23/O23</f>
        <v>0.614630919220056</v>
      </c>
      <c r="U23" s="13" t="n">
        <f aca="false">D23-(M23-0.6*O23)/(1-K23)</f>
        <v>-18.6516853932584</v>
      </c>
      <c r="V23" s="13" t="n">
        <f aca="false">(U23+E23-F23)*(1-K23)+G23+I23+J23</f>
        <v>215.4</v>
      </c>
      <c r="W23" s="14" t="n">
        <f aca="false">V23/O23</f>
        <v>0.6</v>
      </c>
    </row>
    <row r="24" customFormat="false" ht="15" hidden="false" customHeight="false" outlineLevel="0" collapsed="false">
      <c r="A24" s="7" t="s">
        <v>44</v>
      </c>
      <c r="B24" s="8" t="n">
        <v>26</v>
      </c>
      <c r="C24" s="8" t="n">
        <v>41</v>
      </c>
      <c r="D24" s="8" t="n">
        <f aca="false">B24+C24</f>
        <v>67</v>
      </c>
      <c r="E24" s="8" t="n">
        <v>0</v>
      </c>
      <c r="F24" s="8" t="n">
        <v>0</v>
      </c>
      <c r="G24" s="8" t="n">
        <v>138</v>
      </c>
      <c r="H24" s="8" t="n">
        <v>0</v>
      </c>
      <c r="I24" s="8" t="n">
        <v>94</v>
      </c>
      <c r="J24" s="8" t="n">
        <v>0</v>
      </c>
      <c r="K24" s="9" t="n">
        <v>0.11</v>
      </c>
      <c r="L24" s="8" t="n">
        <v>292</v>
      </c>
      <c r="M24" s="8" t="n">
        <f aca="false">(D24+E24-F24)*(1-K24)+G24+I24+J24</f>
        <v>291.63</v>
      </c>
      <c r="N24" s="8" t="n">
        <f aca="false">M24-L24</f>
        <v>-0.370000000000005</v>
      </c>
      <c r="O24" s="8" t="n">
        <v>387</v>
      </c>
      <c r="P24" s="10" t="n">
        <v>0.754521963824289</v>
      </c>
      <c r="Q24" s="10" t="n">
        <f aca="false">M24/O24</f>
        <v>0.753565891472868</v>
      </c>
      <c r="R24" s="11" t="n">
        <f aca="false">D24-(M24-0.6*O24)</f>
        <v>7.56999999999999</v>
      </c>
      <c r="S24" s="11" t="n">
        <f aca="false">(R24+E24-F24)*(1-K24)+G24+I24+J24</f>
        <v>238.7373</v>
      </c>
      <c r="T24" s="12" t="n">
        <f aca="false">S24/O24</f>
        <v>0.616892248062016</v>
      </c>
      <c r="U24" s="13" t="n">
        <f aca="false">D24-(M24-0.6*O24)/(1-K24)</f>
        <v>0.224719101123583</v>
      </c>
      <c r="V24" s="13" t="n">
        <f aca="false">(U24+E24-F24)*(1-K24)+G24+I24+J24</f>
        <v>232.2</v>
      </c>
      <c r="W24" s="14" t="n">
        <f aca="false">V24/O24</f>
        <v>0.6</v>
      </c>
    </row>
    <row r="25" customFormat="false" ht="15" hidden="false" customHeight="false" outlineLevel="0" collapsed="false">
      <c r="A25" s="7" t="s">
        <v>45</v>
      </c>
      <c r="B25" s="8" t="n">
        <v>-21</v>
      </c>
      <c r="C25" s="8" t="n">
        <v>71</v>
      </c>
      <c r="D25" s="8" t="n">
        <f aca="false">B25+C25</f>
        <v>50</v>
      </c>
      <c r="E25" s="8" t="n">
        <v>0</v>
      </c>
      <c r="F25" s="8" t="n">
        <v>0</v>
      </c>
      <c r="G25" s="8" t="n">
        <v>138</v>
      </c>
      <c r="H25" s="8" t="n">
        <v>0</v>
      </c>
      <c r="I25" s="8" t="n">
        <v>94</v>
      </c>
      <c r="J25" s="8" t="n">
        <v>0</v>
      </c>
      <c r="K25" s="9" t="n">
        <v>0.12</v>
      </c>
      <c r="L25" s="8" t="n">
        <v>276</v>
      </c>
      <c r="M25" s="8" t="n">
        <f aca="false">(D25+E25-F25)*(1-K25)+G25+I25+J25</f>
        <v>276</v>
      </c>
      <c r="N25" s="8" t="n">
        <f aca="false">M25-L25</f>
        <v>0</v>
      </c>
      <c r="O25" s="8" t="n">
        <v>392</v>
      </c>
      <c r="P25" s="10" t="n">
        <v>0.704081632653061</v>
      </c>
      <c r="Q25" s="10" t="n">
        <f aca="false">M25/O25</f>
        <v>0.704081632653061</v>
      </c>
      <c r="R25" s="11" t="n">
        <f aca="false">D25-(M25-0.6*O25)</f>
        <v>9.19999999999999</v>
      </c>
      <c r="S25" s="11" t="n">
        <f aca="false">(R25+E25-F25)*(1-K25)+G25+I25+J25</f>
        <v>240.096</v>
      </c>
      <c r="T25" s="12" t="n">
        <f aca="false">S25/O25</f>
        <v>0.612489795918367</v>
      </c>
      <c r="U25" s="13" t="n">
        <f aca="false">D25-(M25-0.6*O25)/(1-K25)</f>
        <v>3.63636363636363</v>
      </c>
      <c r="V25" s="13" t="n">
        <f aca="false">(U25+E25-F25)*(1-K25)+G25+I25+J25</f>
        <v>235.2</v>
      </c>
      <c r="W25" s="14" t="n">
        <f aca="false">V25/O25</f>
        <v>0.6</v>
      </c>
    </row>
    <row r="26" customFormat="false" ht="15" hidden="false" customHeight="false" outlineLevel="0" collapsed="false">
      <c r="A26" s="7" t="s">
        <v>46</v>
      </c>
      <c r="B26" s="8" t="n">
        <v>20</v>
      </c>
      <c r="C26" s="8" t="n">
        <v>68</v>
      </c>
      <c r="D26" s="8" t="n">
        <f aca="false">B26+C26</f>
        <v>88</v>
      </c>
      <c r="E26" s="8" t="n">
        <v>0</v>
      </c>
      <c r="F26" s="8" t="n">
        <v>0</v>
      </c>
      <c r="G26" s="8" t="n">
        <v>138</v>
      </c>
      <c r="H26" s="8" t="n">
        <v>0</v>
      </c>
      <c r="I26" s="8" t="n">
        <v>95</v>
      </c>
      <c r="J26" s="8" t="n">
        <v>0</v>
      </c>
      <c r="K26" s="9" t="n">
        <v>0.11</v>
      </c>
      <c r="L26" s="8" t="n">
        <v>311</v>
      </c>
      <c r="M26" s="8" t="n">
        <f aca="false">(D26+E26-F26)*(1-K26)+G26+I26+J26</f>
        <v>311.32</v>
      </c>
      <c r="N26" s="8" t="n">
        <f aca="false">M26-L26</f>
        <v>0.319999999999993</v>
      </c>
      <c r="O26" s="8" t="n">
        <v>387</v>
      </c>
      <c r="P26" s="10" t="n">
        <v>0.803617571059432</v>
      </c>
      <c r="Q26" s="10" t="n">
        <f aca="false">M26/O26</f>
        <v>0.804444444444444</v>
      </c>
      <c r="R26" s="11" t="n">
        <f aca="false">D26-(M26-0.6*O26)</f>
        <v>8.88</v>
      </c>
      <c r="S26" s="11" t="n">
        <f aca="false">(R26+E26-F26)*(1-K26)+G26+I26+J26</f>
        <v>240.9032</v>
      </c>
      <c r="T26" s="12" t="n">
        <f aca="false">S26/O26</f>
        <v>0.622488888888889</v>
      </c>
      <c r="U26" s="13" t="n">
        <f aca="false">D26-(M26-0.6*O26)/(1-K26)</f>
        <v>-0.898876404494388</v>
      </c>
      <c r="V26" s="13" t="n">
        <f aca="false">(U26+E26-F26)*(1-K26)+G26+I26+J26</f>
        <v>232.2</v>
      </c>
      <c r="W26" s="14" t="n">
        <f aca="false">V26/O26</f>
        <v>0.6</v>
      </c>
    </row>
    <row r="27" customFormat="false" ht="15" hidden="false" customHeight="false" outlineLevel="0" collapsed="false">
      <c r="A27" s="7" t="s">
        <v>47</v>
      </c>
      <c r="B27" s="8" t="n">
        <v>-35</v>
      </c>
      <c r="C27" s="8" t="n">
        <v>82</v>
      </c>
      <c r="D27" s="8" t="n">
        <f aca="false">B27+C27</f>
        <v>47</v>
      </c>
      <c r="E27" s="8" t="n">
        <v>0</v>
      </c>
      <c r="F27" s="8" t="n">
        <v>0</v>
      </c>
      <c r="G27" s="8" t="n">
        <v>138</v>
      </c>
      <c r="H27" s="8" t="n">
        <v>0</v>
      </c>
      <c r="I27" s="8" t="n">
        <v>94</v>
      </c>
      <c r="J27" s="8" t="n">
        <v>1</v>
      </c>
      <c r="K27" s="9" t="n">
        <v>0.11</v>
      </c>
      <c r="L27" s="8" t="n">
        <v>274</v>
      </c>
      <c r="M27" s="8" t="n">
        <f aca="false">(D27+E27-F27)*(1-K27)+G27+I27+J27</f>
        <v>274.83</v>
      </c>
      <c r="N27" s="8" t="n">
        <f aca="false">M27-L27</f>
        <v>0.829999999999984</v>
      </c>
      <c r="O27" s="8" t="n">
        <v>387</v>
      </c>
      <c r="P27" s="10" t="n">
        <v>0.708010335917313</v>
      </c>
      <c r="Q27" s="10" t="n">
        <f aca="false">M27/O27</f>
        <v>0.71015503875969</v>
      </c>
      <c r="R27" s="11" t="n">
        <f aca="false">D27-(M27-0.6*O27)</f>
        <v>4.37</v>
      </c>
      <c r="S27" s="11" t="n">
        <f aca="false">(R27+E27-F27)*(1-K27)+G27+I27+J27</f>
        <v>236.8893</v>
      </c>
      <c r="T27" s="12" t="n">
        <f aca="false">S27/O27</f>
        <v>0.612117054263566</v>
      </c>
      <c r="U27" s="13" t="n">
        <f aca="false">D27-(M27-0.6*O27)/(1-K27)</f>
        <v>-0.898876404494374</v>
      </c>
      <c r="V27" s="13" t="n">
        <f aca="false">(U27+E27-F27)*(1-K27)+G27+I27+J27</f>
        <v>232.2</v>
      </c>
      <c r="W27" s="14" t="n">
        <f aca="false">V27/O27</f>
        <v>0.6</v>
      </c>
    </row>
    <row r="28" customFormat="false" ht="15" hidden="false" customHeight="false" outlineLevel="0" collapsed="false">
      <c r="A28" s="7" t="s">
        <v>48</v>
      </c>
      <c r="B28" s="8" t="n">
        <v>-50</v>
      </c>
      <c r="C28" s="8" t="n">
        <v>66</v>
      </c>
      <c r="D28" s="8" t="n">
        <f aca="false">B28+C28</f>
        <v>16</v>
      </c>
      <c r="E28" s="8" t="n">
        <v>0</v>
      </c>
      <c r="F28" s="8" t="n">
        <v>0</v>
      </c>
      <c r="G28" s="8" t="n">
        <v>138</v>
      </c>
      <c r="H28" s="8" t="n">
        <v>0</v>
      </c>
      <c r="I28" s="8" t="n">
        <v>94</v>
      </c>
      <c r="J28" s="8" t="n">
        <v>1</v>
      </c>
      <c r="K28" s="9" t="n">
        <v>0.11</v>
      </c>
      <c r="L28" s="8" t="n">
        <v>246</v>
      </c>
      <c r="M28" s="8" t="n">
        <f aca="false">(D28+E28-F28)*(1-K28)+G28+I28+J28</f>
        <v>247.24</v>
      </c>
      <c r="N28" s="8" t="n">
        <f aca="false">M28-L28</f>
        <v>1.24000000000001</v>
      </c>
      <c r="O28" s="8" t="n">
        <v>386</v>
      </c>
      <c r="P28" s="10" t="n">
        <v>0.637305699481865</v>
      </c>
      <c r="Q28" s="10" t="n">
        <f aca="false">M28/O28</f>
        <v>0.640518134715026</v>
      </c>
      <c r="R28" s="11" t="n">
        <f aca="false">D28-(M28-0.6*O28)</f>
        <v>0.359999999999985</v>
      </c>
      <c r="S28" s="11" t="n">
        <f aca="false">(R28+E28-F28)*(1-K28)+G28+I28+J28</f>
        <v>233.3204</v>
      </c>
      <c r="T28" s="12" t="n">
        <f aca="false">S28/O28</f>
        <v>0.604456994818653</v>
      </c>
      <c r="U28" s="13" t="n">
        <f aca="false">D28-(M28-0.6*O28)/(1-K28)</f>
        <v>-1.57303370786519</v>
      </c>
      <c r="V28" s="13" t="n">
        <f aca="false">(U28+E28-F28)*(1-K28)+G28+I28+J28</f>
        <v>231.6</v>
      </c>
      <c r="W28" s="14" t="n">
        <f aca="false">V28/O28</f>
        <v>0.6</v>
      </c>
    </row>
    <row r="29" customFormat="false" ht="15" hidden="false" customHeight="false" outlineLevel="0" collapsed="false">
      <c r="A29" s="7" t="s">
        <v>49</v>
      </c>
      <c r="B29" s="8" t="n">
        <v>-53</v>
      </c>
      <c r="C29" s="8" t="n">
        <v>65</v>
      </c>
      <c r="D29" s="8" t="n">
        <f aca="false">B29+C29</f>
        <v>12</v>
      </c>
      <c r="E29" s="8" t="n">
        <v>0</v>
      </c>
      <c r="F29" s="8" t="n">
        <v>0</v>
      </c>
      <c r="G29" s="8" t="n">
        <v>138</v>
      </c>
      <c r="H29" s="8" t="n">
        <v>0</v>
      </c>
      <c r="I29" s="8" t="n">
        <v>94</v>
      </c>
      <c r="J29" s="8" t="n">
        <v>1</v>
      </c>
      <c r="K29" s="9" t="n">
        <v>0.11</v>
      </c>
      <c r="L29" s="8" t="n">
        <v>243</v>
      </c>
      <c r="M29" s="8" t="n">
        <f aca="false">(D29+E29-F29)*(1-K29)+G29+I29+J29</f>
        <v>243.68</v>
      </c>
      <c r="N29" s="8" t="n">
        <f aca="false">M29-L29</f>
        <v>0.680000000000007</v>
      </c>
      <c r="O29" s="8" t="n">
        <v>390</v>
      </c>
      <c r="P29" s="10" t="n">
        <v>0.623076923076923</v>
      </c>
      <c r="Q29" s="10" t="n">
        <f aca="false">M29/O29</f>
        <v>0.624820512820513</v>
      </c>
      <c r="R29" s="11" t="n">
        <f aca="false">D29-(M29-0.6*O29)</f>
        <v>2.31999999999999</v>
      </c>
      <c r="S29" s="11" t="n">
        <f aca="false">(R29+E29-F29)*(1-K29)+G29+I29+J29</f>
        <v>235.0648</v>
      </c>
      <c r="T29" s="12" t="n">
        <f aca="false">S29/O29</f>
        <v>0.602730256410256</v>
      </c>
      <c r="U29" s="13" t="n">
        <f aca="false">D29-(M29-0.6*O29)/(1-K29)</f>
        <v>1.12359550561797</v>
      </c>
      <c r="V29" s="13" t="n">
        <f aca="false">(U29+E29-F29)*(1-K29)+G29+I29+J29</f>
        <v>234</v>
      </c>
      <c r="W29" s="14" t="n">
        <f aca="false">V29/O29</f>
        <v>0.6</v>
      </c>
    </row>
    <row r="30" customFormat="false" ht="15" hidden="false" customHeight="false" outlineLevel="0" collapsed="false">
      <c r="A30" s="7" t="s">
        <v>50</v>
      </c>
      <c r="B30" s="8" t="n">
        <v>-91</v>
      </c>
      <c r="C30" s="8" t="n">
        <v>76</v>
      </c>
      <c r="D30" s="8" t="n">
        <f aca="false">B30+C30</f>
        <v>-15</v>
      </c>
      <c r="E30" s="8" t="n">
        <v>0</v>
      </c>
      <c r="F30" s="8" t="n">
        <v>0</v>
      </c>
      <c r="G30" s="8" t="n">
        <v>138</v>
      </c>
      <c r="H30" s="8" t="n">
        <v>0</v>
      </c>
      <c r="I30" s="8" t="n">
        <v>94</v>
      </c>
      <c r="J30" s="8" t="n">
        <v>1</v>
      </c>
      <c r="K30" s="9" t="n">
        <v>0.12</v>
      </c>
      <c r="L30" s="8" t="n">
        <v>219</v>
      </c>
      <c r="M30" s="8" t="n">
        <f aca="false">(D30+E30-F30)*(1-K30)+G30+I30+J30</f>
        <v>219.8</v>
      </c>
      <c r="N30" s="8" t="n">
        <f aca="false">M30-L30</f>
        <v>0.800000000000011</v>
      </c>
      <c r="O30" s="8" t="n">
        <v>359</v>
      </c>
      <c r="P30" s="10" t="n">
        <v>0.610027855153203</v>
      </c>
      <c r="Q30" s="10" t="n">
        <f aca="false">M30/O30</f>
        <v>0.612256267409471</v>
      </c>
      <c r="R30" s="11" t="n">
        <f aca="false">D30-(M30-0.6*O30)</f>
        <v>-19.4</v>
      </c>
      <c r="S30" s="11" t="n">
        <f aca="false">(R30+E30-F30)*(1-K30)+G30+I30+J30</f>
        <v>215.928</v>
      </c>
      <c r="T30" s="12" t="n">
        <f aca="false">S30/O30</f>
        <v>0.601470752089137</v>
      </c>
      <c r="U30" s="13" t="n">
        <f aca="false">D30-(M30-0.6*O30)/(1-K30)</f>
        <v>-20</v>
      </c>
      <c r="V30" s="13" t="n">
        <f aca="false">(U30+E30-F30)*(1-K30)+G30+I30+J30</f>
        <v>215.4</v>
      </c>
      <c r="W30" s="14" t="n">
        <f aca="false">V30/O30</f>
        <v>0.6</v>
      </c>
    </row>
    <row r="31" customFormat="false" ht="15" hidden="false" customHeight="false" outlineLevel="0" collapsed="false">
      <c r="A31" s="7" t="s">
        <v>51</v>
      </c>
      <c r="B31" s="8" t="n">
        <v>-72</v>
      </c>
      <c r="C31" s="8" t="n">
        <v>60</v>
      </c>
      <c r="D31" s="8" t="n">
        <f aca="false">B31+C31</f>
        <v>-12</v>
      </c>
      <c r="E31" s="8" t="n">
        <v>0</v>
      </c>
      <c r="F31" s="8" t="n">
        <v>0</v>
      </c>
      <c r="G31" s="8" t="n">
        <v>138</v>
      </c>
      <c r="H31" s="8" t="n">
        <v>0</v>
      </c>
      <c r="I31" s="8" t="n">
        <v>95</v>
      </c>
      <c r="J31" s="8" t="n">
        <v>1</v>
      </c>
      <c r="K31" s="9" t="n">
        <v>0.12</v>
      </c>
      <c r="L31" s="8" t="n">
        <v>222</v>
      </c>
      <c r="M31" s="8" t="n">
        <f aca="false">(D31+E31-F31)*(1-K31)+G31+I31+J31</f>
        <v>223.44</v>
      </c>
      <c r="N31" s="8" t="n">
        <f aca="false">M31-L31</f>
        <v>1.44</v>
      </c>
      <c r="O31" s="8" t="n">
        <v>360</v>
      </c>
      <c r="P31" s="10" t="n">
        <v>0.616666666666667</v>
      </c>
      <c r="Q31" s="10" t="n">
        <f aca="false">M31/O31</f>
        <v>0.620666666666667</v>
      </c>
      <c r="R31" s="11" t="n">
        <f aca="false">D31-(M31-0.6*O31)</f>
        <v>-19.44</v>
      </c>
      <c r="S31" s="11" t="n">
        <f aca="false">(R31+E31-F31)*(1-K31)+G31+I31+J31</f>
        <v>216.8928</v>
      </c>
      <c r="T31" s="12" t="n">
        <f aca="false">S31/O31</f>
        <v>0.60248</v>
      </c>
      <c r="U31" s="13" t="n">
        <f aca="false">D31-(M31-0.6*O31)/(1-K31)</f>
        <v>-20.4545454545455</v>
      </c>
      <c r="V31" s="13" t="n">
        <f aca="false">(U31+E31-F31)*(1-K31)+G31+I31+J31</f>
        <v>216</v>
      </c>
      <c r="W31" s="14" t="n">
        <f aca="false">V31/O31</f>
        <v>0.6</v>
      </c>
    </row>
    <row r="32" customFormat="false" ht="15" hidden="false" customHeight="false" outlineLevel="0" collapsed="false">
      <c r="A32" s="15" t="s">
        <v>52</v>
      </c>
      <c r="B32" s="8" t="n">
        <v>-118</v>
      </c>
      <c r="C32" s="8" t="n">
        <v>64</v>
      </c>
      <c r="D32" s="8" t="n">
        <f aca="false">B32+C32</f>
        <v>-54</v>
      </c>
      <c r="E32" s="8" t="n">
        <v>0</v>
      </c>
      <c r="F32" s="8" t="n">
        <v>0</v>
      </c>
      <c r="G32" s="8" t="n">
        <v>138</v>
      </c>
      <c r="H32" s="8" t="n">
        <v>0</v>
      </c>
      <c r="I32" s="8" t="n">
        <v>95</v>
      </c>
      <c r="J32" s="8" t="n">
        <v>1</v>
      </c>
      <c r="K32" s="9" t="n">
        <v>0.12</v>
      </c>
      <c r="L32" s="8" t="n">
        <v>185</v>
      </c>
      <c r="M32" s="8" t="n">
        <f aca="false">(D32+E32-F32)*(1-K32)+G32+I32+J32</f>
        <v>186.48</v>
      </c>
      <c r="N32" s="8" t="n">
        <f aca="false">M32-L32</f>
        <v>1.47999999999999</v>
      </c>
      <c r="O32" s="8" t="n">
        <v>360</v>
      </c>
      <c r="P32" s="16" t="n">
        <v>0.513888888888889</v>
      </c>
      <c r="Q32" s="10" t="n">
        <f aca="false">M32/O32</f>
        <v>0.518</v>
      </c>
      <c r="R32" s="11" t="n">
        <f aca="false">D32-(M32-0.6*O32)</f>
        <v>-24.48</v>
      </c>
      <c r="S32" s="11" t="n">
        <f aca="false">(R32+E32-F32)*(1-K32)+G32+I32+J32</f>
        <v>212.4576</v>
      </c>
      <c r="T32" s="12" t="n">
        <f aca="false">S32/O32</f>
        <v>0.59016</v>
      </c>
      <c r="U32" s="13" t="n">
        <f aca="false">D32-(M32-0.6*O32)/(1-K32)</f>
        <v>-20.4545454545454</v>
      </c>
      <c r="V32" s="13" t="n">
        <f aca="false">(U32+E32-F32)*(1-K32)+G32+I32+J32</f>
        <v>216</v>
      </c>
      <c r="W32" s="14" t="n">
        <f aca="false">V32/O32</f>
        <v>0.6</v>
      </c>
    </row>
    <row r="33" customFormat="false" ht="15" hidden="false" customHeight="false" outlineLevel="0" collapsed="false">
      <c r="A33" s="7" t="s">
        <v>53</v>
      </c>
      <c r="B33" s="8" t="n">
        <v>-38</v>
      </c>
      <c r="C33" s="8" t="n">
        <v>63</v>
      </c>
      <c r="D33" s="8" t="n">
        <f aca="false">B33+C33</f>
        <v>25</v>
      </c>
      <c r="E33" s="8" t="n">
        <v>0</v>
      </c>
      <c r="F33" s="8" t="n">
        <v>0</v>
      </c>
      <c r="G33" s="8" t="n">
        <v>138</v>
      </c>
      <c r="H33" s="8" t="n">
        <v>0</v>
      </c>
      <c r="I33" s="8" t="n">
        <v>95</v>
      </c>
      <c r="J33" s="8" t="n">
        <v>1</v>
      </c>
      <c r="K33" s="9" t="n">
        <v>0.11</v>
      </c>
      <c r="L33" s="8" t="n">
        <v>255</v>
      </c>
      <c r="M33" s="8" t="n">
        <f aca="false">(D33+E33-F33)*(1-K33)+G33+I33+J33</f>
        <v>256.25</v>
      </c>
      <c r="N33" s="8" t="n">
        <f aca="false">M33-L33</f>
        <v>1.25</v>
      </c>
      <c r="O33" s="8" t="n">
        <v>368</v>
      </c>
      <c r="P33" s="10" t="n">
        <v>0.692934782608696</v>
      </c>
      <c r="Q33" s="10" t="n">
        <f aca="false">M33/O33</f>
        <v>0.696331521739131</v>
      </c>
      <c r="R33" s="11" t="n">
        <f aca="false">D33-(M33-0.6*O33)</f>
        <v>-10.45</v>
      </c>
      <c r="S33" s="11" t="n">
        <f aca="false">(R33+E33-F33)*(1-K33)+G33+I33+J33</f>
        <v>224.6995</v>
      </c>
      <c r="T33" s="12" t="n">
        <f aca="false">S33/O33</f>
        <v>0.610596467391304</v>
      </c>
      <c r="U33" s="13" t="n">
        <f aca="false">D33-(M33-0.6*O33)/(1-K33)</f>
        <v>-14.8314606741573</v>
      </c>
      <c r="V33" s="13" t="n">
        <f aca="false">(U33+E33-F33)*(1-K33)+G33+I33+J33</f>
        <v>220.8</v>
      </c>
      <c r="W33" s="14" t="n">
        <f aca="false">V33/O33</f>
        <v>0.6</v>
      </c>
    </row>
    <row r="34" customFormat="false" ht="15" hidden="false" customHeight="false" outlineLevel="0" collapsed="false">
      <c r="A34" s="15" t="s">
        <v>54</v>
      </c>
      <c r="B34" s="8" t="n">
        <v>-46</v>
      </c>
      <c r="C34" s="8" t="n">
        <v>41</v>
      </c>
      <c r="D34" s="8" t="n">
        <f aca="false">B34+C34</f>
        <v>-5</v>
      </c>
      <c r="E34" s="8" t="n">
        <v>0</v>
      </c>
      <c r="F34" s="8" t="n">
        <v>0</v>
      </c>
      <c r="G34" s="8" t="n">
        <v>138</v>
      </c>
      <c r="H34" s="8" t="n">
        <v>0</v>
      </c>
      <c r="I34" s="8" t="n">
        <v>94</v>
      </c>
      <c r="J34" s="8" t="n">
        <v>1</v>
      </c>
      <c r="K34" s="9" t="n">
        <v>0.11</v>
      </c>
      <c r="L34" s="8" t="n">
        <v>228</v>
      </c>
      <c r="M34" s="8" t="n">
        <f aca="false">(D34+E34-F34)*(1-K34)+G34+I34+J34</f>
        <v>228.55</v>
      </c>
      <c r="N34" s="8" t="n">
        <f aca="false">M34-L34</f>
        <v>0.550000000000011</v>
      </c>
      <c r="O34" s="8" t="n">
        <v>390</v>
      </c>
      <c r="P34" s="16" t="n">
        <v>0.584615384615385</v>
      </c>
      <c r="Q34" s="10" t="n">
        <f aca="false">M34/O34</f>
        <v>0.586025641025641</v>
      </c>
      <c r="R34" s="11" t="n">
        <f aca="false">D34-(M34-0.6*O34)</f>
        <v>0.449999999999989</v>
      </c>
      <c r="S34" s="11" t="n">
        <f aca="false">(R34+E34-F34)*(1-K34)+G34+I34+J34</f>
        <v>233.4005</v>
      </c>
      <c r="T34" s="12" t="n">
        <f aca="false">S34/O34</f>
        <v>0.598462820512821</v>
      </c>
      <c r="U34" s="13" t="n">
        <f aca="false">D34-(M34-0.6*O34)/(1-K34)</f>
        <v>1.12359550561796</v>
      </c>
      <c r="V34" s="13" t="n">
        <f aca="false">(U34+E34-F34)*(1-K34)+G34+I34+J34</f>
        <v>234</v>
      </c>
      <c r="W34" s="14" t="n">
        <f aca="false">V34/O34</f>
        <v>0.6</v>
      </c>
    </row>
    <row r="35" customFormat="false" ht="15" hidden="false" customHeight="false" outlineLevel="0" collapsed="false">
      <c r="A35" s="7" t="s">
        <v>55</v>
      </c>
      <c r="B35" s="8" t="n">
        <v>-43</v>
      </c>
      <c r="C35" s="8" t="n">
        <v>46</v>
      </c>
      <c r="D35" s="8" t="n">
        <f aca="false">B35+C35</f>
        <v>3</v>
      </c>
      <c r="E35" s="8" t="n">
        <v>0</v>
      </c>
      <c r="F35" s="8" t="n">
        <v>0</v>
      </c>
      <c r="G35" s="8" t="n">
        <v>138</v>
      </c>
      <c r="H35" s="8" t="n">
        <v>0</v>
      </c>
      <c r="I35" s="8" t="n">
        <v>95</v>
      </c>
      <c r="J35" s="8" t="n">
        <v>1</v>
      </c>
      <c r="K35" s="9" t="n">
        <v>0.11</v>
      </c>
      <c r="L35" s="8" t="n">
        <v>236</v>
      </c>
      <c r="M35" s="8" t="n">
        <f aca="false">(D35+E35-F35)*(1-K35)+G35+I35+J35</f>
        <v>236.67</v>
      </c>
      <c r="N35" s="8" t="n">
        <f aca="false">M35-L35</f>
        <v>0.669999999999988</v>
      </c>
      <c r="O35" s="8" t="n">
        <v>383</v>
      </c>
      <c r="P35" s="10" t="n">
        <v>0.616187989556136</v>
      </c>
      <c r="Q35" s="10" t="n">
        <f aca="false">M35/O35</f>
        <v>0.617937336814621</v>
      </c>
      <c r="R35" s="11" t="n">
        <f aca="false">D35-(M35-0.6*O35)</f>
        <v>-3.87</v>
      </c>
      <c r="S35" s="11" t="n">
        <f aca="false">(R35+E35-F35)*(1-K35)+G35+I35+J35</f>
        <v>230.5557</v>
      </c>
      <c r="T35" s="12" t="n">
        <f aca="false">S35/O35</f>
        <v>0.601973107049608</v>
      </c>
      <c r="U35" s="13" t="n">
        <f aca="false">D35-(M35-0.6*O35)/(1-K35)</f>
        <v>-4.71910112359551</v>
      </c>
      <c r="V35" s="13" t="n">
        <f aca="false">(U35+E35-F35)*(1-K35)+G35+I35+J35</f>
        <v>229.8</v>
      </c>
      <c r="W35" s="14" t="n">
        <f aca="false">V35/O35</f>
        <v>0.6</v>
      </c>
    </row>
    <row r="36" customFormat="false" ht="15" hidden="false" customHeight="false" outlineLevel="0" collapsed="false">
      <c r="A36" s="7" t="s">
        <v>56</v>
      </c>
      <c r="B36" s="8" t="n">
        <v>-35</v>
      </c>
      <c r="C36" s="8" t="n">
        <v>33</v>
      </c>
      <c r="D36" s="8" t="n">
        <f aca="false">B36+C36</f>
        <v>-2</v>
      </c>
      <c r="E36" s="8" t="n">
        <v>0</v>
      </c>
      <c r="F36" s="8" t="n">
        <v>0</v>
      </c>
      <c r="G36" s="8" t="n">
        <v>138</v>
      </c>
      <c r="H36" s="8" t="n">
        <v>0</v>
      </c>
      <c r="I36" s="8" t="n">
        <v>95</v>
      </c>
      <c r="J36" s="8" t="n">
        <v>1</v>
      </c>
      <c r="K36" s="9" t="n">
        <v>0.11</v>
      </c>
      <c r="L36" s="8" t="n">
        <v>231</v>
      </c>
      <c r="M36" s="8" t="n">
        <f aca="false">(D36+E36-F36)*(1-K36)+G36+I36+J36</f>
        <v>232.22</v>
      </c>
      <c r="N36" s="8" t="n">
        <f aca="false">M36-L36</f>
        <v>1.22</v>
      </c>
      <c r="O36" s="8" t="n">
        <v>382</v>
      </c>
      <c r="P36" s="10" t="n">
        <v>0.604712041884817</v>
      </c>
      <c r="Q36" s="10" t="n">
        <f aca="false">M36/O36</f>
        <v>0.607905759162304</v>
      </c>
      <c r="R36" s="11" t="n">
        <f aca="false">D36-(M36-0.6*O36)</f>
        <v>-5.02000000000001</v>
      </c>
      <c r="S36" s="11" t="n">
        <f aca="false">(R36+E36-F36)*(1-K36)+G36+I36+J36</f>
        <v>229.5322</v>
      </c>
      <c r="T36" s="12" t="n">
        <f aca="false">S36/O36</f>
        <v>0.600869633507853</v>
      </c>
      <c r="U36" s="13" t="n">
        <f aca="false">D36-(M36-0.6*O36)/(1-K36)</f>
        <v>-5.3932584269663</v>
      </c>
      <c r="V36" s="13" t="n">
        <f aca="false">(U36+E36-F36)*(1-K36)+G36+I36+J36</f>
        <v>229.2</v>
      </c>
      <c r="W36" s="14" t="n">
        <f aca="false">V36/O36</f>
        <v>0.6</v>
      </c>
    </row>
    <row r="37" customFormat="false" ht="15" hidden="false" customHeight="false" outlineLevel="0" collapsed="false">
      <c r="A37" s="7" t="s">
        <v>57</v>
      </c>
      <c r="B37" s="8" t="n">
        <v>-35</v>
      </c>
      <c r="C37" s="8" t="n">
        <v>46</v>
      </c>
      <c r="D37" s="8" t="n">
        <f aca="false">B37+C37</f>
        <v>11</v>
      </c>
      <c r="E37" s="8" t="n">
        <v>0</v>
      </c>
      <c r="F37" s="8" t="n">
        <v>0</v>
      </c>
      <c r="G37" s="8" t="n">
        <v>138</v>
      </c>
      <c r="H37" s="8" t="n">
        <v>0</v>
      </c>
      <c r="I37" s="8" t="n">
        <v>95</v>
      </c>
      <c r="J37" s="8" t="n">
        <v>1</v>
      </c>
      <c r="K37" s="9" t="n">
        <v>0.11</v>
      </c>
      <c r="L37" s="8" t="n">
        <v>243</v>
      </c>
      <c r="M37" s="8" t="n">
        <f aca="false">(D37+E37-F37)*(1-K37)+G37+I37+J37</f>
        <v>243.79</v>
      </c>
      <c r="N37" s="8" t="n">
        <f aca="false">M37-L37</f>
        <v>0.789999999999992</v>
      </c>
      <c r="O37" s="8" t="n">
        <v>386</v>
      </c>
      <c r="P37" s="10" t="n">
        <v>0.629533678756477</v>
      </c>
      <c r="Q37" s="10" t="n">
        <f aca="false">M37/O37</f>
        <v>0.631580310880829</v>
      </c>
      <c r="R37" s="11" t="n">
        <f aca="false">D37-(M37-0.6*O37)</f>
        <v>-1.19</v>
      </c>
      <c r="S37" s="11" t="n">
        <f aca="false">(R37+E37-F37)*(1-K37)+G37+I37+J37</f>
        <v>232.9409</v>
      </c>
      <c r="T37" s="12" t="n">
        <f aca="false">S37/O37</f>
        <v>0.603473834196891</v>
      </c>
      <c r="U37" s="13" t="n">
        <f aca="false">D37-(M37-0.6*O37)/(1-K37)</f>
        <v>-2.69662921348314</v>
      </c>
      <c r="V37" s="13" t="n">
        <f aca="false">(U37+E37-F37)*(1-K37)+G37+I37+J37</f>
        <v>231.6</v>
      </c>
      <c r="W37" s="14" t="n">
        <f aca="false">V37/O37</f>
        <v>0.6</v>
      </c>
    </row>
    <row r="38" customFormat="false" ht="15" hidden="false" customHeight="false" outlineLevel="0" collapsed="false">
      <c r="A38" s="7" t="s">
        <v>58</v>
      </c>
      <c r="B38" s="8" t="n">
        <v>-29</v>
      </c>
      <c r="C38" s="8" t="n">
        <v>36</v>
      </c>
      <c r="D38" s="8" t="n">
        <f aca="false">B38+C38</f>
        <v>7</v>
      </c>
      <c r="E38" s="8" t="n">
        <v>0</v>
      </c>
      <c r="F38" s="8" t="n">
        <v>0</v>
      </c>
      <c r="G38" s="8" t="n">
        <v>138</v>
      </c>
      <c r="H38" s="8" t="n">
        <v>0</v>
      </c>
      <c r="I38" s="8" t="n">
        <v>95</v>
      </c>
      <c r="J38" s="8" t="n">
        <v>1</v>
      </c>
      <c r="K38" s="9" t="n">
        <v>0.11</v>
      </c>
      <c r="L38" s="8" t="n">
        <v>239</v>
      </c>
      <c r="M38" s="8" t="n">
        <f aca="false">(D38+E38-F38)*(1-K38)+G38+I38+J38</f>
        <v>240.23</v>
      </c>
      <c r="N38" s="8" t="n">
        <f aca="false">M38-L38</f>
        <v>1.22999999999999</v>
      </c>
      <c r="O38" s="8" t="n">
        <v>381</v>
      </c>
      <c r="P38" s="10" t="n">
        <v>0.627296587926509</v>
      </c>
      <c r="Q38" s="10" t="n">
        <f aca="false">M38/O38</f>
        <v>0.630524934383202</v>
      </c>
      <c r="R38" s="11" t="n">
        <f aca="false">D38-(M38-0.6*O38)</f>
        <v>-4.63</v>
      </c>
      <c r="S38" s="11" t="n">
        <f aca="false">(R38+E38-F38)*(1-K38)+G38+I38+J38</f>
        <v>229.8793</v>
      </c>
      <c r="T38" s="12" t="n">
        <f aca="false">S38/O38</f>
        <v>0.603357742782152</v>
      </c>
      <c r="U38" s="13" t="n">
        <f aca="false">D38-(M38-0.6*O38)/(1-K38)</f>
        <v>-6.06741573033707</v>
      </c>
      <c r="V38" s="13" t="n">
        <f aca="false">(U38+E38-F38)*(1-K38)+G38+I38+J38</f>
        <v>228.6</v>
      </c>
      <c r="W38" s="14" t="n">
        <f aca="false">V38/O38</f>
        <v>0.6</v>
      </c>
    </row>
    <row r="39" customFormat="false" ht="15" hidden="false" customHeight="false" outlineLevel="0" collapsed="false">
      <c r="A39" s="7" t="s">
        <v>59</v>
      </c>
      <c r="B39" s="8" t="n">
        <v>-45</v>
      </c>
      <c r="C39" s="8" t="n">
        <v>43</v>
      </c>
      <c r="D39" s="8" t="n">
        <f aca="false">B39+C39</f>
        <v>-2</v>
      </c>
      <c r="E39" s="8" t="n">
        <v>0</v>
      </c>
      <c r="F39" s="8" t="n">
        <v>0</v>
      </c>
      <c r="G39" s="8" t="n">
        <v>138</v>
      </c>
      <c r="H39" s="8" t="n">
        <v>0</v>
      </c>
      <c r="I39" s="8" t="n">
        <v>95</v>
      </c>
      <c r="J39" s="8" t="n">
        <v>1</v>
      </c>
      <c r="K39" s="9" t="n">
        <v>0.11</v>
      </c>
      <c r="L39" s="8" t="n">
        <v>231</v>
      </c>
      <c r="M39" s="8" t="n">
        <f aca="false">(D39+E39-F39)*(1-K39)+G39+I39+J39</f>
        <v>232.22</v>
      </c>
      <c r="N39" s="8" t="n">
        <f aca="false">M39-L39</f>
        <v>1.22</v>
      </c>
      <c r="O39" s="8" t="n">
        <v>383</v>
      </c>
      <c r="P39" s="10" t="n">
        <v>0.60313315926893</v>
      </c>
      <c r="Q39" s="10" t="n">
        <f aca="false">M39/O39</f>
        <v>0.606318537859008</v>
      </c>
      <c r="R39" s="11" t="n">
        <f aca="false">D39-(M39-0.6*O39)</f>
        <v>-4.42000000000002</v>
      </c>
      <c r="S39" s="11" t="n">
        <f aca="false">(R39+E39-F39)*(1-K39)+G39+I39+J39</f>
        <v>230.0662</v>
      </c>
      <c r="T39" s="12" t="n">
        <f aca="false">S39/O39</f>
        <v>0.600695039164491</v>
      </c>
      <c r="U39" s="13" t="n">
        <f aca="false">D39-(M39-0.6*O39)/(1-K39)</f>
        <v>-4.71910112359552</v>
      </c>
      <c r="V39" s="13" t="n">
        <f aca="false">(U39+E39-F39)*(1-K39)+G39+I39+J39</f>
        <v>229.8</v>
      </c>
      <c r="W39" s="14" t="n">
        <f aca="false">V39/O39</f>
        <v>0.6</v>
      </c>
    </row>
    <row r="40" customFormat="false" ht="15" hidden="false" customHeight="false" outlineLevel="0" collapsed="false">
      <c r="A40" s="7" t="s">
        <v>60</v>
      </c>
      <c r="B40" s="8" t="n">
        <v>-40</v>
      </c>
      <c r="C40" s="8" t="n">
        <v>42</v>
      </c>
      <c r="D40" s="8" t="n">
        <f aca="false">B40+C40</f>
        <v>2</v>
      </c>
      <c r="E40" s="8" t="n">
        <v>0</v>
      </c>
      <c r="F40" s="8" t="n">
        <v>0</v>
      </c>
      <c r="G40" s="8" t="n">
        <v>138</v>
      </c>
      <c r="H40" s="8" t="n">
        <v>0</v>
      </c>
      <c r="I40" s="8" t="n">
        <v>95</v>
      </c>
      <c r="J40" s="8" t="n">
        <v>1</v>
      </c>
      <c r="K40" s="9" t="n">
        <v>0.11</v>
      </c>
      <c r="L40" s="8" t="n">
        <v>235</v>
      </c>
      <c r="M40" s="8" t="n">
        <f aca="false">(D40+E40-F40)*(1-K40)+G40+I40+J40</f>
        <v>235.78</v>
      </c>
      <c r="N40" s="8" t="n">
        <f aca="false">M40-L40</f>
        <v>0.780000000000001</v>
      </c>
      <c r="O40" s="8" t="n">
        <v>382</v>
      </c>
      <c r="P40" s="10" t="n">
        <v>0.615183246073298</v>
      </c>
      <c r="Q40" s="10" t="n">
        <f aca="false">M40/O40</f>
        <v>0.617225130890052</v>
      </c>
      <c r="R40" s="11" t="n">
        <f aca="false">D40-(M40-0.6*O40)</f>
        <v>-4.58000000000001</v>
      </c>
      <c r="S40" s="11" t="n">
        <f aca="false">(R40+E40-F40)*(1-K40)+G40+I40+J40</f>
        <v>229.9238</v>
      </c>
      <c r="T40" s="12" t="n">
        <f aca="false">S40/O40</f>
        <v>0.601894764397906</v>
      </c>
      <c r="U40" s="13" t="n">
        <f aca="false">D40-(M40-0.6*O40)/(1-K40)</f>
        <v>-5.39325842696631</v>
      </c>
      <c r="V40" s="13" t="n">
        <f aca="false">(U40+E40-F40)*(1-K40)+G40+I40+J40</f>
        <v>229.2</v>
      </c>
      <c r="W40" s="14" t="n">
        <f aca="false">V40/O40</f>
        <v>0.6</v>
      </c>
    </row>
    <row r="41" customFormat="false" ht="15" hidden="false" customHeight="false" outlineLevel="0" collapsed="false">
      <c r="A41" s="7" t="s">
        <v>61</v>
      </c>
      <c r="B41" s="8" t="n">
        <v>-44</v>
      </c>
      <c r="C41" s="8" t="n">
        <v>65</v>
      </c>
      <c r="D41" s="8" t="n">
        <f aca="false">B41+C41</f>
        <v>21</v>
      </c>
      <c r="E41" s="8" t="n">
        <v>0</v>
      </c>
      <c r="F41" s="8" t="n">
        <v>0</v>
      </c>
      <c r="G41" s="8" t="n">
        <v>138</v>
      </c>
      <c r="H41" s="8" t="n">
        <v>0</v>
      </c>
      <c r="I41" s="8" t="n">
        <v>95</v>
      </c>
      <c r="J41" s="8" t="n">
        <v>1</v>
      </c>
      <c r="K41" s="9" t="n">
        <v>0.11</v>
      </c>
      <c r="L41" s="8" t="n">
        <v>252</v>
      </c>
      <c r="M41" s="8" t="n">
        <f aca="false">(D41+E41-F41)*(1-K41)+G41+I41+J41</f>
        <v>252.69</v>
      </c>
      <c r="N41" s="8" t="n">
        <f aca="false">M41-L41</f>
        <v>0.689999999999998</v>
      </c>
      <c r="O41" s="8" t="n">
        <v>383</v>
      </c>
      <c r="P41" s="10" t="n">
        <v>0.657963446475196</v>
      </c>
      <c r="Q41" s="10" t="n">
        <f aca="false">M41/O41</f>
        <v>0.65976501305483</v>
      </c>
      <c r="R41" s="11" t="n">
        <f aca="false">D41-(M41-0.6*O41)</f>
        <v>-1.89000000000001</v>
      </c>
      <c r="S41" s="11" t="n">
        <f aca="false">(R41+E41-F41)*(1-K41)+G41+I41+J41</f>
        <v>232.3179</v>
      </c>
      <c r="T41" s="12" t="n">
        <f aca="false">S41/O41</f>
        <v>0.606574151436031</v>
      </c>
      <c r="U41" s="13" t="n">
        <f aca="false">D41-(M41-0.6*O41)/(1-K41)</f>
        <v>-4.71910112359552</v>
      </c>
      <c r="V41" s="13" t="n">
        <f aca="false">(U41+E41-F41)*(1-K41)+G41+I41+J41</f>
        <v>229.8</v>
      </c>
      <c r="W41" s="14" t="n">
        <f aca="false">V41/O41</f>
        <v>0.6</v>
      </c>
    </row>
    <row r="42" customFormat="false" ht="15" hidden="false" customHeight="false" outlineLevel="0" collapsed="false">
      <c r="A42" s="15" t="s">
        <v>62</v>
      </c>
      <c r="B42" s="8" t="n">
        <v>-41</v>
      </c>
      <c r="C42" s="8" t="n">
        <v>26</v>
      </c>
      <c r="D42" s="8" t="n">
        <f aca="false">B42+C42</f>
        <v>-15</v>
      </c>
      <c r="E42" s="8" t="n">
        <v>0</v>
      </c>
      <c r="F42" s="8" t="n">
        <v>0</v>
      </c>
      <c r="G42" s="8" t="n">
        <v>138</v>
      </c>
      <c r="H42" s="8" t="n">
        <v>0</v>
      </c>
      <c r="I42" s="8" t="n">
        <v>94</v>
      </c>
      <c r="J42" s="8" t="n">
        <v>1</v>
      </c>
      <c r="K42" s="9" t="n">
        <v>0.11</v>
      </c>
      <c r="L42" s="8" t="n">
        <v>219</v>
      </c>
      <c r="M42" s="8" t="n">
        <f aca="false">(D42+E42-F42)*(1-K42)+G42+I42+J42</f>
        <v>219.65</v>
      </c>
      <c r="N42" s="8" t="n">
        <f aca="false">M42-L42</f>
        <v>0.650000000000006</v>
      </c>
      <c r="O42" s="8" t="n">
        <v>385</v>
      </c>
      <c r="P42" s="16" t="n">
        <v>0.568831168831169</v>
      </c>
      <c r="Q42" s="10" t="n">
        <f aca="false">M42/O42</f>
        <v>0.570519480519481</v>
      </c>
      <c r="R42" s="11" t="n">
        <f aca="false">D42-(M42-0.6*O42)</f>
        <v>-3.65000000000001</v>
      </c>
      <c r="S42" s="11" t="n">
        <f aca="false">(R42+E42-F42)*(1-K42)+G42+I42+J42</f>
        <v>229.7515</v>
      </c>
      <c r="T42" s="12" t="n">
        <f aca="false">S42/O42</f>
        <v>0.596757142857143</v>
      </c>
      <c r="U42" s="13" t="n">
        <f aca="false">D42-(M42-0.6*O42)/(1-K42)</f>
        <v>-2.24719101123596</v>
      </c>
      <c r="V42" s="13" t="n">
        <f aca="false">(U42+E42-F42)*(1-K42)+G42+I42+J42</f>
        <v>231</v>
      </c>
      <c r="W42" s="14" t="n">
        <f aca="false">V42/O42</f>
        <v>0.6</v>
      </c>
    </row>
    <row r="43" customFormat="false" ht="15" hidden="false" customHeight="false" outlineLevel="0" collapsed="false">
      <c r="A43" s="7" t="s">
        <v>63</v>
      </c>
      <c r="B43" s="8" t="n">
        <v>-46</v>
      </c>
      <c r="C43" s="8" t="n">
        <v>44</v>
      </c>
      <c r="D43" s="8" t="n">
        <f aca="false">B43+C43</f>
        <v>-2</v>
      </c>
      <c r="E43" s="8" t="n">
        <v>0</v>
      </c>
      <c r="F43" s="8" t="n">
        <v>0</v>
      </c>
      <c r="G43" s="8" t="n">
        <v>138</v>
      </c>
      <c r="H43" s="8" t="n">
        <v>0</v>
      </c>
      <c r="I43" s="8" t="n">
        <v>94</v>
      </c>
      <c r="J43" s="8" t="n">
        <v>0</v>
      </c>
      <c r="K43" s="9" t="n">
        <v>0.11</v>
      </c>
      <c r="L43" s="8" t="n">
        <v>230</v>
      </c>
      <c r="M43" s="8" t="n">
        <f aca="false">(D43+E43-F43)*(1-K43)+G43+I43+J43</f>
        <v>230.22</v>
      </c>
      <c r="N43" s="8" t="n">
        <f aca="false">M43-L43</f>
        <v>0.219999999999999</v>
      </c>
      <c r="O43" s="8" t="n">
        <v>381</v>
      </c>
      <c r="P43" s="10" t="n">
        <v>0.603674540682415</v>
      </c>
      <c r="Q43" s="10" t="n">
        <f aca="false">M43/O43</f>
        <v>0.604251968503937</v>
      </c>
      <c r="R43" s="11" t="n">
        <f aca="false">D43-(M43-0.6*O43)</f>
        <v>-3.62</v>
      </c>
      <c r="S43" s="11" t="n">
        <f aca="false">(R43+E43-F43)*(1-K43)+G43+I43+J43</f>
        <v>228.7782</v>
      </c>
      <c r="T43" s="12" t="n">
        <f aca="false">S43/O43</f>
        <v>0.600467716535433</v>
      </c>
      <c r="U43" s="13" t="n">
        <f aca="false">D43-(M43-0.6*O43)/(1-K43)</f>
        <v>-3.82022471910113</v>
      </c>
      <c r="V43" s="13" t="n">
        <f aca="false">(U43+E43-F43)*(1-K43)+G43+I43+J43</f>
        <v>228.6</v>
      </c>
      <c r="W43" s="14" t="n">
        <f aca="false">V43/O43</f>
        <v>0.6</v>
      </c>
    </row>
    <row r="44" customFormat="false" ht="15" hidden="false" customHeight="false" outlineLevel="0" collapsed="false">
      <c r="A44" s="7" t="s">
        <v>64</v>
      </c>
      <c r="B44" s="8" t="n">
        <v>-49</v>
      </c>
      <c r="C44" s="8" t="n">
        <v>49</v>
      </c>
      <c r="D44" s="8" t="n">
        <f aca="false">B44+C44</f>
        <v>0</v>
      </c>
      <c r="E44" s="8" t="n">
        <v>0</v>
      </c>
      <c r="F44" s="8" t="n">
        <v>0</v>
      </c>
      <c r="G44" s="8" t="n">
        <v>138</v>
      </c>
      <c r="H44" s="8" t="n">
        <v>0</v>
      </c>
      <c r="I44" s="8" t="n">
        <v>95</v>
      </c>
      <c r="J44" s="8" t="n">
        <v>0</v>
      </c>
      <c r="K44" s="9" t="n">
        <v>0.12</v>
      </c>
      <c r="L44" s="8" t="n">
        <v>233</v>
      </c>
      <c r="M44" s="8" t="n">
        <f aca="false">(D44+E44-F44)*(1-K44)+G44+I44+J44</f>
        <v>233</v>
      </c>
      <c r="N44" s="8" t="n">
        <f aca="false">M44-L44</f>
        <v>0</v>
      </c>
      <c r="O44" s="8" t="n">
        <v>350</v>
      </c>
      <c r="P44" s="10" t="n">
        <v>0.665714285714286</v>
      </c>
      <c r="Q44" s="10" t="n">
        <f aca="false">M44/O44</f>
        <v>0.665714285714286</v>
      </c>
      <c r="R44" s="11" t="n">
        <f aca="false">D44-(M44-0.6*O44)</f>
        <v>-23</v>
      </c>
      <c r="S44" s="11" t="n">
        <f aca="false">(R44+E44-F44)*(1-K44)+G44+I44+J44</f>
        <v>212.76</v>
      </c>
      <c r="T44" s="12" t="n">
        <f aca="false">S44/O44</f>
        <v>0.607885714285714</v>
      </c>
      <c r="U44" s="13" t="n">
        <f aca="false">D44-(M44-0.6*O44)/(1-K44)</f>
        <v>-26.1363636363636</v>
      </c>
      <c r="V44" s="13" t="n">
        <f aca="false">(U44+E44-F44)*(1-K44)+G44+I44+J44</f>
        <v>210</v>
      </c>
      <c r="W44" s="14" t="n">
        <f aca="false">V44/O44</f>
        <v>0.6</v>
      </c>
    </row>
    <row r="45" customFormat="false" ht="15" hidden="false" customHeight="false" outlineLevel="0" collapsed="false">
      <c r="A45" s="15" t="s">
        <v>65</v>
      </c>
      <c r="B45" s="8" t="n">
        <v>-51</v>
      </c>
      <c r="C45" s="8" t="n">
        <v>35</v>
      </c>
      <c r="D45" s="8" t="n">
        <f aca="false">B45+C45</f>
        <v>-16</v>
      </c>
      <c r="E45" s="8" t="n">
        <v>0</v>
      </c>
      <c r="F45" s="8" t="n">
        <v>0</v>
      </c>
      <c r="G45" s="8" t="n">
        <v>138</v>
      </c>
      <c r="H45" s="8" t="n">
        <v>0</v>
      </c>
      <c r="I45" s="8" t="n">
        <v>94</v>
      </c>
      <c r="J45" s="8" t="n">
        <v>0</v>
      </c>
      <c r="K45" s="9" t="n">
        <v>0.12</v>
      </c>
      <c r="L45" s="8" t="n">
        <v>218</v>
      </c>
      <c r="M45" s="8" t="n">
        <f aca="false">(D45+E45-F45)*(1-K45)+G45+I45+J45</f>
        <v>217.92</v>
      </c>
      <c r="N45" s="8" t="n">
        <f aca="false">M45-L45</f>
        <v>-0.0799999999999841</v>
      </c>
      <c r="O45" s="8" t="n">
        <v>366</v>
      </c>
      <c r="P45" s="16" t="n">
        <v>0.595628415300546</v>
      </c>
      <c r="Q45" s="10" t="n">
        <f aca="false">M45/O45</f>
        <v>0.595409836065574</v>
      </c>
      <c r="R45" s="11" t="n">
        <f aca="false">D45-(M45-0.6*O45)</f>
        <v>-14.32</v>
      </c>
      <c r="S45" s="11" t="n">
        <f aca="false">(R45+E45-F45)*(1-K45)+G45+I45+J45</f>
        <v>219.3984</v>
      </c>
      <c r="T45" s="12" t="n">
        <f aca="false">S45/O45</f>
        <v>0.599449180327869</v>
      </c>
      <c r="U45" s="13" t="n">
        <f aca="false">D45-(M45-0.6*O45)/(1-K45)</f>
        <v>-14.0909090909091</v>
      </c>
      <c r="V45" s="13" t="n">
        <f aca="false">(U45+E45-F45)*(1-K45)+G45+I45+J45</f>
        <v>219.6</v>
      </c>
      <c r="W45" s="14" t="n">
        <f aca="false">V45/O45</f>
        <v>0.6</v>
      </c>
    </row>
    <row r="46" customFormat="false" ht="15" hidden="false" customHeight="false" outlineLevel="0" collapsed="false">
      <c r="A46" s="7" t="s">
        <v>66</v>
      </c>
      <c r="B46" s="8" t="n">
        <v>-55</v>
      </c>
      <c r="C46" s="8" t="n">
        <v>66</v>
      </c>
      <c r="D46" s="8" t="n">
        <f aca="false">B46+C46</f>
        <v>11</v>
      </c>
      <c r="E46" s="8" t="n">
        <v>0</v>
      </c>
      <c r="F46" s="8" t="n">
        <v>0</v>
      </c>
      <c r="G46" s="8" t="n">
        <v>138</v>
      </c>
      <c r="H46" s="8" t="n">
        <v>0</v>
      </c>
      <c r="I46" s="8" t="n">
        <v>94</v>
      </c>
      <c r="J46" s="8" t="n">
        <v>0</v>
      </c>
      <c r="K46" s="9" t="n">
        <v>0.12</v>
      </c>
      <c r="L46" s="8" t="n">
        <v>242</v>
      </c>
      <c r="M46" s="8" t="n">
        <f aca="false">(D46+E46-F46)*(1-K46)+G46+I46+J46</f>
        <v>241.68</v>
      </c>
      <c r="N46" s="8" t="n">
        <f aca="false">M46-L46</f>
        <v>-0.319999999999993</v>
      </c>
      <c r="O46" s="8" t="n">
        <v>370</v>
      </c>
      <c r="P46" s="10" t="n">
        <v>0.654054054054054</v>
      </c>
      <c r="Q46" s="10" t="n">
        <f aca="false">M46/O46</f>
        <v>0.653189189189189</v>
      </c>
      <c r="R46" s="11" t="n">
        <f aca="false">D46-(M46-0.6*O46)</f>
        <v>-8.68000000000001</v>
      </c>
      <c r="S46" s="11" t="n">
        <f aca="false">(R46+E46-F46)*(1-K46)+G46+I46+J46</f>
        <v>224.3616</v>
      </c>
      <c r="T46" s="12" t="n">
        <f aca="false">S46/O46</f>
        <v>0.606382702702703</v>
      </c>
      <c r="U46" s="13" t="n">
        <f aca="false">D46-(M46-0.6*O46)/(1-K46)</f>
        <v>-11.3636363636364</v>
      </c>
      <c r="V46" s="13" t="n">
        <f aca="false">(U46+E46-F46)*(1-K46)+G46+I46+J46</f>
        <v>222</v>
      </c>
      <c r="W46" s="14" t="n">
        <f aca="false">V46/O46</f>
        <v>0.6</v>
      </c>
    </row>
    <row r="47" customFormat="false" ht="15" hidden="false" customHeight="false" outlineLevel="0" collapsed="false">
      <c r="A47" s="15" t="s">
        <v>67</v>
      </c>
      <c r="B47" s="8" t="n">
        <v>-101</v>
      </c>
      <c r="C47" s="8" t="n">
        <v>65</v>
      </c>
      <c r="D47" s="8" t="n">
        <f aca="false">B47+C47</f>
        <v>-36</v>
      </c>
      <c r="E47" s="8" t="n">
        <v>0</v>
      </c>
      <c r="F47" s="8" t="n">
        <v>0</v>
      </c>
      <c r="G47" s="8" t="n">
        <v>138</v>
      </c>
      <c r="H47" s="8" t="n">
        <v>0</v>
      </c>
      <c r="I47" s="8" t="n">
        <v>94</v>
      </c>
      <c r="J47" s="8" t="n">
        <v>0</v>
      </c>
      <c r="K47" s="9" t="n">
        <v>0.11</v>
      </c>
      <c r="L47" s="8" t="n">
        <v>200</v>
      </c>
      <c r="M47" s="8" t="n">
        <f aca="false">(D47+E47-F47)*(1-K47)+G47+I47+J47</f>
        <v>199.96</v>
      </c>
      <c r="N47" s="8" t="n">
        <f aca="false">M47-L47</f>
        <v>-0.039999999999992</v>
      </c>
      <c r="O47" s="8" t="n">
        <v>381</v>
      </c>
      <c r="P47" s="16" t="n">
        <v>0.5249343832021</v>
      </c>
      <c r="Q47" s="10" t="n">
        <f aca="false">M47/O47</f>
        <v>0.524829396325459</v>
      </c>
      <c r="R47" s="11" t="n">
        <f aca="false">D47-(M47-0.6*O47)</f>
        <v>-7.36000000000001</v>
      </c>
      <c r="S47" s="11" t="n">
        <f aca="false">(R47+E47-F47)*(1-K47)+G47+I47+J47</f>
        <v>225.4496</v>
      </c>
      <c r="T47" s="12" t="n">
        <f aca="false">S47/O47</f>
        <v>0.591731233595801</v>
      </c>
      <c r="U47" s="13" t="n">
        <f aca="false">D47-(M47-0.6*O47)/(1-K47)</f>
        <v>-3.82022471910114</v>
      </c>
      <c r="V47" s="13" t="n">
        <f aca="false">(U47+E47-F47)*(1-K47)+G47+I47+J47</f>
        <v>228.6</v>
      </c>
      <c r="W47" s="14" t="n">
        <f aca="false">V47/O47</f>
        <v>0.6</v>
      </c>
    </row>
    <row r="48" customFormat="false" ht="15" hidden="false" customHeight="false" outlineLevel="0" collapsed="false">
      <c r="A48" s="7" t="s">
        <v>68</v>
      </c>
      <c r="B48" s="8" t="n">
        <v>-71</v>
      </c>
      <c r="C48" s="8" t="n">
        <v>72</v>
      </c>
      <c r="D48" s="8" t="n">
        <f aca="false">B48+C48</f>
        <v>1</v>
      </c>
      <c r="E48" s="8" t="n">
        <v>0</v>
      </c>
      <c r="F48" s="8" t="n">
        <v>0</v>
      </c>
      <c r="G48" s="8" t="n">
        <v>138</v>
      </c>
      <c r="H48" s="8" t="n">
        <v>0</v>
      </c>
      <c r="I48" s="8" t="n">
        <v>94</v>
      </c>
      <c r="J48" s="8" t="n">
        <v>0</v>
      </c>
      <c r="K48" s="9" t="n">
        <v>0.11</v>
      </c>
      <c r="L48" s="8" t="n">
        <v>233</v>
      </c>
      <c r="M48" s="8" t="n">
        <f aca="false">(D48+E48-F48)*(1-K48)+G48+I48+J48</f>
        <v>232.89</v>
      </c>
      <c r="N48" s="8" t="n">
        <f aca="false">M48-L48</f>
        <v>-0.110000000000014</v>
      </c>
      <c r="O48" s="8" t="n">
        <v>385</v>
      </c>
      <c r="P48" s="10" t="n">
        <v>0.605194805194805</v>
      </c>
      <c r="Q48" s="10" t="n">
        <f aca="false">M48/O48</f>
        <v>0.604909090909091</v>
      </c>
      <c r="R48" s="11" t="n">
        <f aca="false">D48-(M48-0.6*O48)</f>
        <v>-0.889999999999986</v>
      </c>
      <c r="S48" s="11" t="n">
        <f aca="false">(R48+E48-F48)*(1-K48)+G48+I48+J48</f>
        <v>231.2079</v>
      </c>
      <c r="T48" s="12" t="n">
        <f aca="false">S48/O48</f>
        <v>0.60054</v>
      </c>
      <c r="U48" s="13" t="n">
        <f aca="false">D48-(M48-0.6*O48)/(1-K48)</f>
        <v>-1.12359550561796</v>
      </c>
      <c r="V48" s="13" t="n">
        <f aca="false">(U48+E48-F48)*(1-K48)+G48+I48+J48</f>
        <v>231</v>
      </c>
      <c r="W48" s="14" t="n">
        <f aca="false">V48/O48</f>
        <v>0.6</v>
      </c>
    </row>
    <row r="49" customFormat="false" ht="15" hidden="false" customHeight="false" outlineLevel="0" collapsed="false">
      <c r="A49" s="7" t="s">
        <v>69</v>
      </c>
      <c r="B49" s="8" t="n">
        <v>-72</v>
      </c>
      <c r="C49" s="8" t="n">
        <v>71</v>
      </c>
      <c r="D49" s="8" t="n">
        <f aca="false">B49+C49</f>
        <v>-1</v>
      </c>
      <c r="E49" s="8" t="n">
        <v>0</v>
      </c>
      <c r="F49" s="8" t="n">
        <v>0</v>
      </c>
      <c r="G49" s="8" t="n">
        <v>138</v>
      </c>
      <c r="H49" s="8" t="n">
        <v>0</v>
      </c>
      <c r="I49" s="8" t="n">
        <v>94</v>
      </c>
      <c r="J49" s="8" t="n">
        <v>0</v>
      </c>
      <c r="K49" s="9" t="n">
        <v>0.12</v>
      </c>
      <c r="L49" s="8" t="n">
        <v>231</v>
      </c>
      <c r="M49" s="8" t="n">
        <f aca="false">(D49+E49-F49)*(1-K49)+G49+I49+J49</f>
        <v>231.12</v>
      </c>
      <c r="N49" s="8" t="n">
        <f aca="false">M49-L49</f>
        <v>0.120000000000005</v>
      </c>
      <c r="O49" s="8" t="n">
        <v>381</v>
      </c>
      <c r="P49" s="10" t="n">
        <v>0.606299212598425</v>
      </c>
      <c r="Q49" s="10" t="n">
        <f aca="false">M49/O49</f>
        <v>0.606614173228346</v>
      </c>
      <c r="R49" s="11" t="n">
        <f aca="false">D49-(M49-0.6*O49)</f>
        <v>-3.52000000000001</v>
      </c>
      <c r="S49" s="11" t="n">
        <f aca="false">(R49+E49-F49)*(1-K49)+G49+I49+J49</f>
        <v>228.9024</v>
      </c>
      <c r="T49" s="12" t="n">
        <f aca="false">S49/O49</f>
        <v>0.600793700787402</v>
      </c>
      <c r="U49" s="13" t="n">
        <f aca="false">D49-(M49-0.6*O49)/(1-K49)</f>
        <v>-3.86363636363638</v>
      </c>
      <c r="V49" s="13" t="n">
        <f aca="false">(U49+E49-F49)*(1-K49)+G49+I49+J49</f>
        <v>228.6</v>
      </c>
      <c r="W49" s="14" t="n">
        <f aca="false">V49/O49</f>
        <v>0.6</v>
      </c>
    </row>
    <row r="50" customFormat="false" ht="15" hidden="false" customHeight="false" outlineLevel="0" collapsed="false">
      <c r="A50" s="7" t="s">
        <v>70</v>
      </c>
      <c r="B50" s="8" t="n">
        <v>-35</v>
      </c>
      <c r="C50" s="8" t="n">
        <v>29</v>
      </c>
      <c r="D50" s="8" t="n">
        <f aca="false">B50+C50</f>
        <v>-6</v>
      </c>
      <c r="E50" s="8" t="n">
        <v>0</v>
      </c>
      <c r="F50" s="8" t="n">
        <v>0</v>
      </c>
      <c r="G50" s="8" t="n">
        <v>138</v>
      </c>
      <c r="H50" s="8" t="n">
        <v>0</v>
      </c>
      <c r="I50" s="8" t="n">
        <v>94</v>
      </c>
      <c r="J50" s="8" t="n">
        <v>0</v>
      </c>
      <c r="K50" s="9" t="n">
        <v>0.12</v>
      </c>
      <c r="L50" s="8" t="n">
        <v>227</v>
      </c>
      <c r="M50" s="8" t="n">
        <f aca="false">(D50+E50-F50)*(1-K50)+G50+I50+J50</f>
        <v>226.72</v>
      </c>
      <c r="N50" s="8" t="n">
        <f aca="false">M50-L50</f>
        <v>-0.280000000000001</v>
      </c>
      <c r="O50" s="8" t="n">
        <v>360</v>
      </c>
      <c r="P50" s="10" t="n">
        <v>0.630555555555556</v>
      </c>
      <c r="Q50" s="10" t="n">
        <f aca="false">M50/O50</f>
        <v>0.629777777777778</v>
      </c>
      <c r="R50" s="11" t="n">
        <f aca="false">D50-(M50-0.6*O50)</f>
        <v>-16.72</v>
      </c>
      <c r="S50" s="11" t="n">
        <f aca="false">(R50+E50-F50)*(1-K50)+G50+I50+J50</f>
        <v>217.2864</v>
      </c>
      <c r="T50" s="12" t="n">
        <f aca="false">S50/O50</f>
        <v>0.603573333333333</v>
      </c>
      <c r="U50" s="13" t="n">
        <f aca="false">D50-(M50-0.6*O50)/(1-K50)</f>
        <v>-18.1818181818182</v>
      </c>
      <c r="V50" s="13" t="n">
        <f aca="false">(U50+E50-F50)*(1-K50)+G50+I50+J50</f>
        <v>216</v>
      </c>
      <c r="W50" s="14" t="n">
        <f aca="false">V50/O50</f>
        <v>0.6</v>
      </c>
    </row>
    <row r="51" customFormat="false" ht="15" hidden="false" customHeight="false" outlineLevel="0" collapsed="false">
      <c r="A51" s="7" t="s">
        <v>71</v>
      </c>
      <c r="B51" s="8" t="n">
        <v>-12</v>
      </c>
      <c r="C51" s="8" t="n">
        <v>56</v>
      </c>
      <c r="D51" s="8" t="n">
        <f aca="false">B51+C51</f>
        <v>44</v>
      </c>
      <c r="E51" s="8" t="n">
        <v>0</v>
      </c>
      <c r="F51" s="8" t="n">
        <v>0</v>
      </c>
      <c r="G51" s="8" t="n">
        <v>138</v>
      </c>
      <c r="H51" s="8" t="n">
        <v>0</v>
      </c>
      <c r="I51" s="8" t="n">
        <v>94</v>
      </c>
      <c r="J51" s="8" t="n">
        <v>0</v>
      </c>
      <c r="K51" s="9" t="n">
        <v>0.12</v>
      </c>
      <c r="L51" s="8" t="n">
        <v>271</v>
      </c>
      <c r="M51" s="8" t="n">
        <f aca="false">(D51+E51-F51)*(1-K51)+G51+I51+J51</f>
        <v>270.72</v>
      </c>
      <c r="N51" s="8" t="n">
        <f aca="false">M51-L51</f>
        <v>-0.279999999999973</v>
      </c>
      <c r="O51" s="8" t="n">
        <v>356</v>
      </c>
      <c r="P51" s="10" t="n">
        <v>0.76123595505618</v>
      </c>
      <c r="Q51" s="10" t="n">
        <f aca="false">M51/O51</f>
        <v>0.760449438202247</v>
      </c>
      <c r="R51" s="11" t="n">
        <f aca="false">D51-(M51-0.6*O51)</f>
        <v>-13.12</v>
      </c>
      <c r="S51" s="11" t="n">
        <f aca="false">(R51+E51-F51)*(1-K51)+G51+I51+J51</f>
        <v>220.4544</v>
      </c>
      <c r="T51" s="12" t="n">
        <f aca="false">S51/O51</f>
        <v>0.61925393258427</v>
      </c>
      <c r="U51" s="13" t="n">
        <f aca="false">D51-(M51-0.6*O51)/(1-K51)</f>
        <v>-20.909090909091</v>
      </c>
      <c r="V51" s="13" t="n">
        <f aca="false">(U51+E51-F51)*(1-K51)+G51+I51+J51</f>
        <v>213.6</v>
      </c>
      <c r="W51" s="14" t="n">
        <f aca="false">V51/O51</f>
        <v>0.6</v>
      </c>
    </row>
    <row r="52" customFormat="false" ht="15" hidden="false" customHeight="false" outlineLevel="0" collapsed="false">
      <c r="A52" s="7" t="s">
        <v>72</v>
      </c>
      <c r="B52" s="8" t="n">
        <v>-1</v>
      </c>
      <c r="C52" s="8" t="n">
        <v>26</v>
      </c>
      <c r="D52" s="8" t="n">
        <f aca="false">B52+C52</f>
        <v>25</v>
      </c>
      <c r="E52" s="8" t="n">
        <v>0</v>
      </c>
      <c r="F52" s="8" t="n">
        <v>0</v>
      </c>
      <c r="G52" s="8" t="n">
        <v>138</v>
      </c>
      <c r="H52" s="8" t="n">
        <v>0</v>
      </c>
      <c r="I52" s="8" t="n">
        <v>94</v>
      </c>
      <c r="J52" s="8" t="n">
        <v>0</v>
      </c>
      <c r="K52" s="9" t="n">
        <v>0.12</v>
      </c>
      <c r="L52" s="8" t="n">
        <v>254</v>
      </c>
      <c r="M52" s="8" t="n">
        <f aca="false">(D52+E52-F52)*(1-K52)+G52+I52+J52</f>
        <v>254</v>
      </c>
      <c r="N52" s="8" t="n">
        <f aca="false">M52-L52</f>
        <v>0</v>
      </c>
      <c r="O52" s="8" t="n">
        <v>374</v>
      </c>
      <c r="P52" s="10" t="n">
        <v>0.679144385026738</v>
      </c>
      <c r="Q52" s="10" t="n">
        <f aca="false">M52/O52</f>
        <v>0.679144385026738</v>
      </c>
      <c r="R52" s="11" t="n">
        <f aca="false">D52-(M52-0.6*O52)</f>
        <v>-4.59999999999999</v>
      </c>
      <c r="S52" s="11" t="n">
        <f aca="false">(R52+E52-F52)*(1-K52)+G52+I52+J52</f>
        <v>227.952</v>
      </c>
      <c r="T52" s="12" t="n">
        <f aca="false">S52/O52</f>
        <v>0.609497326203209</v>
      </c>
      <c r="U52" s="13" t="n">
        <f aca="false">D52-(M52-0.6*O52)/(1-K52)</f>
        <v>-8.63636363636363</v>
      </c>
      <c r="V52" s="13" t="n">
        <f aca="false">(U52+E52-F52)*(1-K52)+G52+I52+J52</f>
        <v>224.4</v>
      </c>
      <c r="W52" s="14" t="n">
        <f aca="false">V52/O52</f>
        <v>0.6</v>
      </c>
    </row>
    <row r="53" customFormat="false" ht="15" hidden="false" customHeight="false" outlineLevel="0" collapsed="false">
      <c r="A53" s="7" t="s">
        <v>73</v>
      </c>
      <c r="B53" s="8" t="n">
        <v>-11</v>
      </c>
      <c r="C53" s="8" t="n">
        <v>38</v>
      </c>
      <c r="D53" s="8" t="n">
        <f aca="false">B53+C53</f>
        <v>27</v>
      </c>
      <c r="E53" s="8" t="n">
        <v>0</v>
      </c>
      <c r="F53" s="8" t="n">
        <v>0</v>
      </c>
      <c r="G53" s="8" t="n">
        <v>138</v>
      </c>
      <c r="H53" s="8" t="n">
        <v>0</v>
      </c>
      <c r="I53" s="8" t="n">
        <v>94</v>
      </c>
      <c r="J53" s="8" t="n">
        <v>0</v>
      </c>
      <c r="K53" s="9" t="n">
        <v>0.12</v>
      </c>
      <c r="L53" s="8" t="n">
        <v>256</v>
      </c>
      <c r="M53" s="8" t="n">
        <f aca="false">(D53+E53-F53)*(1-K53)+G53+I53+J53</f>
        <v>255.76</v>
      </c>
      <c r="N53" s="8" t="n">
        <f aca="false">M53-L53</f>
        <v>-0.240000000000009</v>
      </c>
      <c r="O53" s="8" t="n">
        <v>336</v>
      </c>
      <c r="P53" s="10" t="n">
        <v>0.761904761904762</v>
      </c>
      <c r="Q53" s="10" t="n">
        <f aca="false">M53/O53</f>
        <v>0.761190476190476</v>
      </c>
      <c r="R53" s="11" t="n">
        <f aca="false">D53-(M53-0.6*O53)</f>
        <v>-27.16</v>
      </c>
      <c r="S53" s="11" t="n">
        <f aca="false">(R53+E53-F53)*(1-K53)+G53+I53+J53</f>
        <v>208.0992</v>
      </c>
      <c r="T53" s="12" t="n">
        <f aca="false">S53/O53</f>
        <v>0.619342857142857</v>
      </c>
      <c r="U53" s="13" t="n">
        <f aca="false">D53-(M53-0.6*O53)/(1-K53)</f>
        <v>-34.5454545454545</v>
      </c>
      <c r="V53" s="13" t="n">
        <f aca="false">(U53+E53-F53)*(1-K53)+G53+I53+J53</f>
        <v>201.6</v>
      </c>
      <c r="W53" s="14" t="n">
        <f aca="false">V53/O53</f>
        <v>0.6</v>
      </c>
    </row>
    <row r="54" customFormat="false" ht="15" hidden="false" customHeight="false" outlineLevel="0" collapsed="false">
      <c r="A54" s="7" t="s">
        <v>74</v>
      </c>
      <c r="B54" s="8" t="n">
        <v>-21</v>
      </c>
      <c r="C54" s="8" t="n">
        <v>46</v>
      </c>
      <c r="D54" s="8" t="n">
        <f aca="false">B54+C54</f>
        <v>25</v>
      </c>
      <c r="E54" s="8" t="n">
        <v>0</v>
      </c>
      <c r="F54" s="8" t="n">
        <v>0</v>
      </c>
      <c r="G54" s="8" t="n">
        <v>138</v>
      </c>
      <c r="H54" s="8" t="n">
        <v>0</v>
      </c>
      <c r="I54" s="8" t="n">
        <v>94</v>
      </c>
      <c r="J54" s="8" t="n">
        <v>0</v>
      </c>
      <c r="K54" s="9" t="n">
        <v>0.12</v>
      </c>
      <c r="L54" s="8" t="n">
        <v>254</v>
      </c>
      <c r="M54" s="8" t="n">
        <f aca="false">(D54+E54-F54)*(1-K54)+G54+I54+J54</f>
        <v>254</v>
      </c>
      <c r="N54" s="8" t="n">
        <f aca="false">M54-L54</f>
        <v>0</v>
      </c>
      <c r="O54" s="8" t="n">
        <v>341</v>
      </c>
      <c r="P54" s="10" t="n">
        <v>0.744868035190616</v>
      </c>
      <c r="Q54" s="10" t="n">
        <f aca="false">M54/O54</f>
        <v>0.744868035190616</v>
      </c>
      <c r="R54" s="11" t="n">
        <f aca="false">D54-(M54-0.6*O54)</f>
        <v>-24.4</v>
      </c>
      <c r="S54" s="11" t="n">
        <f aca="false">(R54+E54-F54)*(1-K54)+G54+I54+J54</f>
        <v>210.528</v>
      </c>
      <c r="T54" s="12" t="n">
        <f aca="false">S54/O54</f>
        <v>0.617384164222874</v>
      </c>
      <c r="U54" s="13" t="n">
        <f aca="false">D54-(M54-0.6*O54)/(1-K54)</f>
        <v>-31.1363636363636</v>
      </c>
      <c r="V54" s="13" t="n">
        <f aca="false">(U54+E54-F54)*(1-K54)+G54+I54+J54</f>
        <v>204.6</v>
      </c>
      <c r="W54" s="14" t="n">
        <f aca="false">V54/O54</f>
        <v>0.6</v>
      </c>
    </row>
    <row r="55" customFormat="false" ht="15" hidden="false" customHeight="false" outlineLevel="0" collapsed="false">
      <c r="A55" s="7" t="s">
        <v>75</v>
      </c>
      <c r="B55" s="8" t="n">
        <v>0</v>
      </c>
      <c r="C55" s="8" t="n">
        <v>70</v>
      </c>
      <c r="D55" s="8" t="n">
        <f aca="false">B55+C55</f>
        <v>70</v>
      </c>
      <c r="E55" s="8" t="n">
        <v>0</v>
      </c>
      <c r="F55" s="8" t="n">
        <v>0</v>
      </c>
      <c r="G55" s="8" t="n">
        <v>138</v>
      </c>
      <c r="H55" s="8" t="n">
        <v>0</v>
      </c>
      <c r="I55" s="8" t="n">
        <v>94</v>
      </c>
      <c r="J55" s="8" t="n">
        <v>0</v>
      </c>
      <c r="K55" s="9" t="n">
        <v>0.12</v>
      </c>
      <c r="L55" s="8" t="n">
        <v>294</v>
      </c>
      <c r="M55" s="8" t="n">
        <f aca="false">(D55+E55-F55)*(1-K55)+G55+I55+J55</f>
        <v>293.6</v>
      </c>
      <c r="N55" s="8" t="n">
        <f aca="false">M55-L55</f>
        <v>-0.399999999999977</v>
      </c>
      <c r="O55" s="8" t="n">
        <v>343</v>
      </c>
      <c r="P55" s="10" t="n">
        <v>0.857142857142857</v>
      </c>
      <c r="Q55" s="10" t="n">
        <f aca="false">M55/O55</f>
        <v>0.85597667638484</v>
      </c>
      <c r="R55" s="11" t="n">
        <f aca="false">D55-(M55-0.6*O55)</f>
        <v>-17.8</v>
      </c>
      <c r="S55" s="11" t="n">
        <f aca="false">(R55+E55-F55)*(1-K55)+G55+I55+J55</f>
        <v>216.336</v>
      </c>
      <c r="T55" s="12" t="n">
        <f aca="false">S55/O55</f>
        <v>0.630717201166181</v>
      </c>
      <c r="U55" s="13" t="n">
        <f aca="false">D55-(M55-0.6*O55)/(1-K55)</f>
        <v>-29.7727272727273</v>
      </c>
      <c r="V55" s="13" t="n">
        <f aca="false">(U55+E55-F55)*(1-K55)+G55+I55+J55</f>
        <v>205.8</v>
      </c>
      <c r="W55" s="14" t="n">
        <f aca="false">V55/O55</f>
        <v>0.6</v>
      </c>
    </row>
    <row r="56" customFormat="false" ht="15" hidden="false" customHeight="false" outlineLevel="0" collapsed="false">
      <c r="A56" s="7" t="s">
        <v>76</v>
      </c>
      <c r="B56" s="8" t="n">
        <v>0</v>
      </c>
      <c r="C56" s="8" t="n">
        <v>49</v>
      </c>
      <c r="D56" s="8" t="n">
        <f aca="false">B56+C56</f>
        <v>49</v>
      </c>
      <c r="E56" s="8" t="n">
        <v>0</v>
      </c>
      <c r="F56" s="8" t="n">
        <v>0</v>
      </c>
      <c r="G56" s="8" t="n">
        <v>138</v>
      </c>
      <c r="H56" s="8" t="n">
        <v>0</v>
      </c>
      <c r="I56" s="8" t="n">
        <v>94</v>
      </c>
      <c r="J56" s="8" t="n">
        <v>0</v>
      </c>
      <c r="K56" s="9" t="n">
        <v>0.12</v>
      </c>
      <c r="L56" s="8" t="n">
        <v>275</v>
      </c>
      <c r="M56" s="8" t="n">
        <f aca="false">(D56+E56-F56)*(1-K56)+G56+I56+J56</f>
        <v>275.12</v>
      </c>
      <c r="N56" s="8" t="n">
        <f aca="false">M56-L56</f>
        <v>0.120000000000005</v>
      </c>
      <c r="O56" s="8" t="n">
        <v>343</v>
      </c>
      <c r="P56" s="10" t="n">
        <v>0.801749271137026</v>
      </c>
      <c r="Q56" s="10" t="n">
        <f aca="false">M56/O56</f>
        <v>0.802099125364432</v>
      </c>
      <c r="R56" s="11" t="n">
        <f aca="false">D56-(M56-0.6*O56)</f>
        <v>-20.32</v>
      </c>
      <c r="S56" s="11" t="n">
        <f aca="false">(R56+E56-F56)*(1-K56)+G56+I56+J56</f>
        <v>214.1184</v>
      </c>
      <c r="T56" s="12" t="n">
        <f aca="false">S56/O56</f>
        <v>0.624251895043732</v>
      </c>
      <c r="U56" s="13" t="n">
        <f aca="false">D56-(M56-0.6*O56)/(1-K56)</f>
        <v>-29.7727272727273</v>
      </c>
      <c r="V56" s="13" t="n">
        <f aca="false">(U56+E56-F56)*(1-K56)+G56+I56+J56</f>
        <v>205.8</v>
      </c>
      <c r="W56" s="14" t="n">
        <f aca="false">V56/O56</f>
        <v>0.6</v>
      </c>
    </row>
    <row r="57" customFormat="false" ht="15" hidden="false" customHeight="false" outlineLevel="0" collapsed="false">
      <c r="A57" s="7" t="s">
        <v>77</v>
      </c>
      <c r="B57" s="8" t="n">
        <v>4</v>
      </c>
      <c r="C57" s="8" t="n">
        <v>40</v>
      </c>
      <c r="D57" s="8" t="n">
        <f aca="false">B57+C57</f>
        <v>44</v>
      </c>
      <c r="E57" s="8" t="n">
        <v>0</v>
      </c>
      <c r="F57" s="8" t="n">
        <v>0</v>
      </c>
      <c r="G57" s="8" t="n">
        <v>138</v>
      </c>
      <c r="H57" s="8" t="n">
        <v>0</v>
      </c>
      <c r="I57" s="8" t="n">
        <v>94</v>
      </c>
      <c r="J57" s="8" t="n">
        <v>0</v>
      </c>
      <c r="K57" s="9" t="n">
        <v>0.12</v>
      </c>
      <c r="L57" s="8" t="n">
        <v>271</v>
      </c>
      <c r="M57" s="8" t="n">
        <f aca="false">(D57+E57-F57)*(1-K57)+G57+I57+J57</f>
        <v>270.72</v>
      </c>
      <c r="N57" s="8" t="n">
        <f aca="false">M57-L57</f>
        <v>-0.279999999999973</v>
      </c>
      <c r="O57" s="8" t="n">
        <v>357</v>
      </c>
      <c r="P57" s="10" t="n">
        <v>0.759103641456583</v>
      </c>
      <c r="Q57" s="10" t="n">
        <f aca="false">M57/O57</f>
        <v>0.758319327731093</v>
      </c>
      <c r="R57" s="11" t="n">
        <f aca="false">D57-(M57-0.6*O57)</f>
        <v>-12.52</v>
      </c>
      <c r="S57" s="11" t="n">
        <f aca="false">(R57+E57-F57)*(1-K57)+G57+I57+J57</f>
        <v>220.9824</v>
      </c>
      <c r="T57" s="12" t="n">
        <f aca="false">S57/O57</f>
        <v>0.618998319327731</v>
      </c>
      <c r="U57" s="13" t="n">
        <f aca="false">D57-(M57-0.6*O57)/(1-K57)</f>
        <v>-20.2272727272728</v>
      </c>
      <c r="V57" s="13" t="n">
        <f aca="false">(U57+E57-F57)*(1-K57)+G57+I57+J57</f>
        <v>214.2</v>
      </c>
      <c r="W57" s="14" t="n">
        <f aca="false">V57/O57</f>
        <v>0.6</v>
      </c>
    </row>
    <row r="58" customFormat="false" ht="15" hidden="false" customHeight="false" outlineLevel="0" collapsed="false">
      <c r="A58" s="7" t="s">
        <v>78</v>
      </c>
      <c r="B58" s="8" t="n">
        <v>4</v>
      </c>
      <c r="C58" s="8" t="n">
        <v>30</v>
      </c>
      <c r="D58" s="8" t="n">
        <f aca="false">B58+C58</f>
        <v>34</v>
      </c>
      <c r="E58" s="8" t="n">
        <v>0</v>
      </c>
      <c r="F58" s="8" t="n">
        <v>0</v>
      </c>
      <c r="G58" s="8" t="n">
        <v>138</v>
      </c>
      <c r="H58" s="8" t="n">
        <v>0</v>
      </c>
      <c r="I58" s="8" t="n">
        <v>94</v>
      </c>
      <c r="J58" s="8" t="n">
        <v>0</v>
      </c>
      <c r="K58" s="9" t="n">
        <v>0.12</v>
      </c>
      <c r="L58" s="8" t="n">
        <v>262</v>
      </c>
      <c r="M58" s="8" t="n">
        <f aca="false">(D58+E58-F58)*(1-K58)+G58+I58+J58</f>
        <v>261.92</v>
      </c>
      <c r="N58" s="8" t="n">
        <f aca="false">M58-L58</f>
        <v>-0.0799999999999841</v>
      </c>
      <c r="O58" s="8" t="n">
        <v>355</v>
      </c>
      <c r="P58" s="10" t="n">
        <v>0.738028169014085</v>
      </c>
      <c r="Q58" s="10" t="n">
        <f aca="false">M58/O58</f>
        <v>0.737802816901409</v>
      </c>
      <c r="R58" s="11" t="n">
        <f aca="false">D58-(M58-0.6*O58)</f>
        <v>-14.92</v>
      </c>
      <c r="S58" s="11" t="n">
        <f aca="false">(R58+E58-F58)*(1-K58)+G58+I58+J58</f>
        <v>218.8704</v>
      </c>
      <c r="T58" s="12" t="n">
        <f aca="false">S58/O58</f>
        <v>0.616536338028169</v>
      </c>
      <c r="U58" s="13" t="n">
        <f aca="false">D58-(M58-0.6*O58)/(1-K58)</f>
        <v>-21.5909090909091</v>
      </c>
      <c r="V58" s="13" t="n">
        <f aca="false">(U58+E58-F58)*(1-K58)+G58+I58+J58</f>
        <v>213</v>
      </c>
      <c r="W58" s="14" t="n">
        <f aca="false">V58/O58</f>
        <v>0.6</v>
      </c>
    </row>
    <row r="59" customFormat="false" ht="15" hidden="false" customHeight="false" outlineLevel="0" collapsed="false">
      <c r="A59" s="7" t="s">
        <v>79</v>
      </c>
      <c r="B59" s="8" t="n">
        <v>-35</v>
      </c>
      <c r="C59" s="8" t="n">
        <v>42</v>
      </c>
      <c r="D59" s="8" t="n">
        <f aca="false">B59+C59</f>
        <v>7</v>
      </c>
      <c r="E59" s="8" t="n">
        <v>0</v>
      </c>
      <c r="F59" s="8" t="n">
        <v>0</v>
      </c>
      <c r="G59" s="8" t="n">
        <v>138</v>
      </c>
      <c r="H59" s="8" t="n">
        <v>0</v>
      </c>
      <c r="I59" s="8" t="n">
        <v>94</v>
      </c>
      <c r="J59" s="8" t="n">
        <v>0</v>
      </c>
      <c r="K59" s="9" t="n">
        <v>0.12</v>
      </c>
      <c r="L59" s="8" t="n">
        <v>238</v>
      </c>
      <c r="M59" s="8" t="n">
        <f aca="false">(D59+E59-F59)*(1-K59)+G59+I59+J59</f>
        <v>238.16</v>
      </c>
      <c r="N59" s="8" t="n">
        <f aca="false">M59-L59</f>
        <v>0.159999999999997</v>
      </c>
      <c r="O59" s="8" t="n">
        <v>354</v>
      </c>
      <c r="P59" s="10" t="n">
        <v>0.672316384180791</v>
      </c>
      <c r="Q59" s="10" t="n">
        <f aca="false">M59/O59</f>
        <v>0.672768361581921</v>
      </c>
      <c r="R59" s="11" t="n">
        <f aca="false">D59-(M59-0.6*O59)</f>
        <v>-18.76</v>
      </c>
      <c r="S59" s="11" t="n">
        <f aca="false">(R59+E59-F59)*(1-K59)+G59+I59+J59</f>
        <v>215.4912</v>
      </c>
      <c r="T59" s="12" t="n">
        <f aca="false">S59/O59</f>
        <v>0.608732203389831</v>
      </c>
      <c r="U59" s="13" t="n">
        <f aca="false">D59-(M59-0.6*O59)/(1-K59)</f>
        <v>-22.2727272727273</v>
      </c>
      <c r="V59" s="13" t="n">
        <f aca="false">(U59+E59-F59)*(1-K59)+G59+I59+J59</f>
        <v>212.4</v>
      </c>
      <c r="W59" s="14" t="n">
        <f aca="false">V59/O59</f>
        <v>0.6</v>
      </c>
    </row>
    <row r="60" customFormat="false" ht="15" hidden="false" customHeight="false" outlineLevel="0" collapsed="false">
      <c r="A60" s="7" t="s">
        <v>80</v>
      </c>
      <c r="B60" s="8" t="n">
        <v>1</v>
      </c>
      <c r="C60" s="8" t="n">
        <v>62</v>
      </c>
      <c r="D60" s="8" t="n">
        <f aca="false">B60+C60</f>
        <v>63</v>
      </c>
      <c r="E60" s="8" t="n">
        <v>0</v>
      </c>
      <c r="F60" s="8" t="n">
        <v>0</v>
      </c>
      <c r="G60" s="8" t="n">
        <v>138</v>
      </c>
      <c r="H60" s="8" t="n">
        <v>0</v>
      </c>
      <c r="I60" s="8" t="n">
        <v>94</v>
      </c>
      <c r="J60" s="8" t="n">
        <v>0</v>
      </c>
      <c r="K60" s="9" t="n">
        <v>0.12</v>
      </c>
      <c r="L60" s="8" t="n">
        <v>287</v>
      </c>
      <c r="M60" s="8" t="n">
        <f aca="false">(D60+E60-F60)*(1-K60)+G60+I60+J60</f>
        <v>287.44</v>
      </c>
      <c r="N60" s="8" t="n">
        <f aca="false">M60-L60</f>
        <v>0.439999999999998</v>
      </c>
      <c r="O60" s="8" t="n">
        <v>355</v>
      </c>
      <c r="P60" s="10" t="n">
        <v>0.808450704225352</v>
      </c>
      <c r="Q60" s="10" t="n">
        <f aca="false">M60/O60</f>
        <v>0.80969014084507</v>
      </c>
      <c r="R60" s="11" t="n">
        <f aca="false">D60-(M60-0.6*O60)</f>
        <v>-11.44</v>
      </c>
      <c r="S60" s="11" t="n">
        <f aca="false">(R60+E60-F60)*(1-K60)+G60+I60+J60</f>
        <v>221.9328</v>
      </c>
      <c r="T60" s="12" t="n">
        <f aca="false">S60/O60</f>
        <v>0.625162816901408</v>
      </c>
      <c r="U60" s="13" t="n">
        <f aca="false">D60-(M60-0.6*O60)/(1-K60)</f>
        <v>-21.5909090909091</v>
      </c>
      <c r="V60" s="13" t="n">
        <f aca="false">(U60+E60-F60)*(1-K60)+G60+I60+J60</f>
        <v>213</v>
      </c>
      <c r="W60" s="14" t="n">
        <f aca="false">V60/O60</f>
        <v>0.6</v>
      </c>
    </row>
    <row r="61" customFormat="false" ht="15" hidden="false" customHeight="false" outlineLevel="0" collapsed="false">
      <c r="A61" s="7" t="s">
        <v>81</v>
      </c>
      <c r="B61" s="8" t="n">
        <v>3</v>
      </c>
      <c r="C61" s="8" t="n">
        <v>45</v>
      </c>
      <c r="D61" s="8" t="n">
        <f aca="false">B61+C61</f>
        <v>48</v>
      </c>
      <c r="E61" s="8" t="n">
        <v>0</v>
      </c>
      <c r="F61" s="8" t="n">
        <v>0</v>
      </c>
      <c r="G61" s="8" t="n">
        <v>138</v>
      </c>
      <c r="H61" s="8" t="n">
        <v>0</v>
      </c>
      <c r="I61" s="8" t="n">
        <v>94</v>
      </c>
      <c r="J61" s="8" t="n">
        <v>0</v>
      </c>
      <c r="K61" s="9" t="n">
        <v>0.11</v>
      </c>
      <c r="L61" s="8" t="n">
        <v>275</v>
      </c>
      <c r="M61" s="8" t="n">
        <f aca="false">(D61+E61-F61)*(1-K61)+G61+I61+J61</f>
        <v>274.72</v>
      </c>
      <c r="N61" s="8" t="n">
        <f aca="false">M61-L61</f>
        <v>-0.279999999999973</v>
      </c>
      <c r="O61" s="8" t="n">
        <v>361</v>
      </c>
      <c r="P61" s="10" t="n">
        <v>0.761772853185596</v>
      </c>
      <c r="Q61" s="10" t="n">
        <f aca="false">M61/O61</f>
        <v>0.760997229916898</v>
      </c>
      <c r="R61" s="11" t="n">
        <f aca="false">D61-(M61-0.6*O61)</f>
        <v>-10.12</v>
      </c>
      <c r="S61" s="11" t="n">
        <f aca="false">(R61+E61-F61)*(1-K61)+G61+I61+J61</f>
        <v>222.9932</v>
      </c>
      <c r="T61" s="12" t="n">
        <f aca="false">S61/O61</f>
        <v>0.617709695290859</v>
      </c>
      <c r="U61" s="13" t="n">
        <f aca="false">D61-(M61-0.6*O61)/(1-K61)</f>
        <v>-17.3033707865169</v>
      </c>
      <c r="V61" s="13" t="n">
        <f aca="false">(U61+E61-F61)*(1-K61)+G61+I61+J61</f>
        <v>216.6</v>
      </c>
      <c r="W61" s="14" t="n">
        <f aca="false">V61/O61</f>
        <v>0.6</v>
      </c>
    </row>
    <row r="62" customFormat="false" ht="15" hidden="false" customHeight="false" outlineLevel="0" collapsed="false">
      <c r="A62" s="7" t="s">
        <v>82</v>
      </c>
      <c r="B62" s="8" t="n">
        <v>-11</v>
      </c>
      <c r="C62" s="8" t="n">
        <v>49</v>
      </c>
      <c r="D62" s="8" t="n">
        <f aca="false">B62+C62</f>
        <v>38</v>
      </c>
      <c r="E62" s="8" t="n">
        <v>0</v>
      </c>
      <c r="F62" s="8" t="n">
        <v>0</v>
      </c>
      <c r="G62" s="8" t="n">
        <v>138</v>
      </c>
      <c r="H62" s="8" t="n">
        <v>0</v>
      </c>
      <c r="I62" s="8" t="n">
        <v>94</v>
      </c>
      <c r="J62" s="8" t="n">
        <v>0</v>
      </c>
      <c r="K62" s="9" t="n">
        <v>0.11</v>
      </c>
      <c r="L62" s="8" t="n">
        <v>266</v>
      </c>
      <c r="M62" s="8" t="n">
        <f aca="false">(D62+E62-F62)*(1-K62)+G62+I62+J62</f>
        <v>265.82</v>
      </c>
      <c r="N62" s="8" t="n">
        <f aca="false">M62-L62</f>
        <v>-0.180000000000007</v>
      </c>
      <c r="O62" s="8" t="n">
        <v>365</v>
      </c>
      <c r="P62" s="10" t="n">
        <v>0.728767123287671</v>
      </c>
      <c r="Q62" s="10" t="n">
        <f aca="false">M62/O62</f>
        <v>0.72827397260274</v>
      </c>
      <c r="R62" s="11" t="n">
        <f aca="false">D62-(M62-0.6*O62)</f>
        <v>-8.81999999999999</v>
      </c>
      <c r="S62" s="11" t="n">
        <f aca="false">(R62+E62-F62)*(1-K62)+G62+I62+J62</f>
        <v>224.1502</v>
      </c>
      <c r="T62" s="12" t="n">
        <f aca="false">S62/O62</f>
        <v>0.614110136986302</v>
      </c>
      <c r="U62" s="13" t="n">
        <f aca="false">D62-(M62-0.6*O62)/(1-K62)</f>
        <v>-14.6067415730337</v>
      </c>
      <c r="V62" s="13" t="n">
        <f aca="false">(U62+E62-F62)*(1-K62)+G62+I62+J62</f>
        <v>219</v>
      </c>
      <c r="W62" s="14" t="n">
        <f aca="false">V62/O62</f>
        <v>0.6</v>
      </c>
    </row>
    <row r="63" customFormat="false" ht="15" hidden="false" customHeight="false" outlineLevel="0" collapsed="false">
      <c r="A63" s="15" t="s">
        <v>83</v>
      </c>
      <c r="B63" s="8" t="n">
        <v>-76</v>
      </c>
      <c r="C63" s="8" t="n">
        <v>22</v>
      </c>
      <c r="D63" s="8" t="n">
        <f aca="false">B63+C63</f>
        <v>-54</v>
      </c>
      <c r="E63" s="8" t="n">
        <v>0</v>
      </c>
      <c r="F63" s="8" t="n">
        <v>0</v>
      </c>
      <c r="G63" s="8" t="n">
        <v>138</v>
      </c>
      <c r="H63" s="8" t="n">
        <v>0</v>
      </c>
      <c r="I63" s="8" t="n">
        <v>94</v>
      </c>
      <c r="J63" s="8" t="n">
        <v>0</v>
      </c>
      <c r="K63" s="9" t="n">
        <v>0.11</v>
      </c>
      <c r="L63" s="8" t="n">
        <v>184</v>
      </c>
      <c r="M63" s="8" t="n">
        <f aca="false">(D63+E63-F63)*(1-K63)+G63+I63+J63</f>
        <v>183.94</v>
      </c>
      <c r="N63" s="8" t="n">
        <f aca="false">M63-L63</f>
        <v>-0.0600000000000023</v>
      </c>
      <c r="O63" s="8" t="n">
        <v>370</v>
      </c>
      <c r="P63" s="16" t="n">
        <v>0.497297297297297</v>
      </c>
      <c r="Q63" s="10" t="n">
        <f aca="false">M63/O63</f>
        <v>0.497135135135135</v>
      </c>
      <c r="R63" s="11" t="n">
        <f aca="false">D63-(M63-0.6*O63)</f>
        <v>-15.94</v>
      </c>
      <c r="S63" s="11" t="n">
        <f aca="false">(R63+E63-F63)*(1-K63)+G63+I63+J63</f>
        <v>217.8134</v>
      </c>
      <c r="T63" s="12" t="n">
        <f aca="false">S63/O63</f>
        <v>0.588684864864865</v>
      </c>
      <c r="U63" s="13" t="n">
        <f aca="false">D63-(M63-0.6*O63)/(1-K63)</f>
        <v>-11.2359550561798</v>
      </c>
      <c r="V63" s="13" t="n">
        <f aca="false">(U63+E63-F63)*(1-K63)+G63+I63+J63</f>
        <v>222</v>
      </c>
      <c r="W63" s="14" t="n">
        <f aca="false">V63/O63</f>
        <v>0.6</v>
      </c>
    </row>
    <row r="64" customFormat="false" ht="15" hidden="false" customHeight="false" outlineLevel="0" collapsed="false">
      <c r="A64" s="15" t="s">
        <v>84</v>
      </c>
      <c r="B64" s="8" t="n">
        <v>-106</v>
      </c>
      <c r="C64" s="8" t="n">
        <v>59</v>
      </c>
      <c r="D64" s="8" t="n">
        <f aca="false">B64+C64</f>
        <v>-47</v>
      </c>
      <c r="E64" s="8" t="n">
        <v>0</v>
      </c>
      <c r="F64" s="8" t="n">
        <v>0</v>
      </c>
      <c r="G64" s="8" t="n">
        <v>140</v>
      </c>
      <c r="H64" s="8" t="n">
        <v>0</v>
      </c>
      <c r="I64" s="8" t="n">
        <v>94</v>
      </c>
      <c r="J64" s="8" t="n">
        <v>0</v>
      </c>
      <c r="K64" s="9" t="n">
        <v>0.11</v>
      </c>
      <c r="L64" s="8" t="n">
        <v>192</v>
      </c>
      <c r="M64" s="8" t="n">
        <f aca="false">(D64+E64-F64)*(1-K64)+G64+I64+J64</f>
        <v>192.17</v>
      </c>
      <c r="N64" s="8" t="n">
        <f aca="false">M64-L64</f>
        <v>0.170000000000016</v>
      </c>
      <c r="O64" s="8" t="n">
        <v>355</v>
      </c>
      <c r="P64" s="16" t="n">
        <v>0.540845070422535</v>
      </c>
      <c r="Q64" s="10" t="n">
        <f aca="false">M64/O64</f>
        <v>0.541323943661972</v>
      </c>
      <c r="R64" s="11" t="n">
        <f aca="false">D64-(M64-0.6*O64)</f>
        <v>-26.17</v>
      </c>
      <c r="S64" s="11" t="n">
        <f aca="false">(R64+E64-F64)*(1-K64)+G64+I64+J64</f>
        <v>210.7087</v>
      </c>
      <c r="T64" s="12" t="n">
        <f aca="false">S64/O64</f>
        <v>0.593545633802817</v>
      </c>
      <c r="U64" s="13" t="n">
        <f aca="false">D64-(M64-0.6*O64)/(1-K64)</f>
        <v>-23.5955056179775</v>
      </c>
      <c r="V64" s="13" t="n">
        <f aca="false">(U64+E64-F64)*(1-K64)+G64+I64+J64</f>
        <v>213</v>
      </c>
      <c r="W64" s="14" t="n">
        <f aca="false">V64/O64</f>
        <v>0.6</v>
      </c>
    </row>
    <row r="65" customFormat="false" ht="15" hidden="false" customHeight="false" outlineLevel="0" collapsed="false">
      <c r="A65" s="7" t="s">
        <v>85</v>
      </c>
      <c r="B65" s="8" t="n">
        <v>-73</v>
      </c>
      <c r="C65" s="8" t="n">
        <v>95</v>
      </c>
      <c r="D65" s="8" t="n">
        <f aca="false">B65+C65</f>
        <v>22</v>
      </c>
      <c r="E65" s="8" t="n">
        <v>0</v>
      </c>
      <c r="F65" s="8" t="n">
        <v>0</v>
      </c>
      <c r="G65" s="8" t="n">
        <v>138</v>
      </c>
      <c r="H65" s="8" t="n">
        <v>0</v>
      </c>
      <c r="I65" s="8" t="n">
        <v>94</v>
      </c>
      <c r="J65" s="8" t="n">
        <v>0</v>
      </c>
      <c r="K65" s="9" t="n">
        <v>0.11</v>
      </c>
      <c r="L65" s="8" t="n">
        <v>252</v>
      </c>
      <c r="M65" s="8" t="n">
        <f aca="false">(D65+E65-F65)*(1-K65)+G65+I65+J65</f>
        <v>251.58</v>
      </c>
      <c r="N65" s="8" t="n">
        <f aca="false">M65-L65</f>
        <v>-0.419999999999988</v>
      </c>
      <c r="O65" s="8" t="n">
        <v>360</v>
      </c>
      <c r="P65" s="10" t="n">
        <v>0.7</v>
      </c>
      <c r="Q65" s="10" t="n">
        <f aca="false">M65/O65</f>
        <v>0.698833333333333</v>
      </c>
      <c r="R65" s="11" t="n">
        <f aca="false">D65-(M65-0.6*O65)</f>
        <v>-13.58</v>
      </c>
      <c r="S65" s="11" t="n">
        <f aca="false">(R65+E65-F65)*(1-K65)+G65+I65+J65</f>
        <v>219.9138</v>
      </c>
      <c r="T65" s="12" t="n">
        <f aca="false">S65/O65</f>
        <v>0.610871666666667</v>
      </c>
      <c r="U65" s="13" t="n">
        <f aca="false">D65-(M65-0.6*O65)/(1-K65)</f>
        <v>-17.9775280898877</v>
      </c>
      <c r="V65" s="13" t="n">
        <f aca="false">(U65+E65-F65)*(1-K65)+G65+I65+J65</f>
        <v>216</v>
      </c>
      <c r="W65" s="14" t="n">
        <f aca="false">V65/O65</f>
        <v>0.6</v>
      </c>
    </row>
    <row r="66" customFormat="false" ht="15" hidden="false" customHeight="false" outlineLevel="0" collapsed="false">
      <c r="A66" s="17" t="s">
        <v>86</v>
      </c>
      <c r="N66" s="18" t="n">
        <f aca="false">MAX(ABS(N5),0)</f>
        <v>0.240000000000009</v>
      </c>
    </row>
    <row r="67" customFormat="false" ht="15" hidden="false" customHeight="false" outlineLevel="0" collapsed="false">
      <c r="A67" s="18" t="s">
        <v>87</v>
      </c>
      <c r="C67" s="19" t="n">
        <f aca="false">MAX(N5:N65)</f>
        <v>1.47999999999999</v>
      </c>
    </row>
    <row r="68" customFormat="false" ht="15" hidden="false" customHeight="false" outlineLevel="0" collapsed="false">
      <c r="A68" s="18" t="s">
        <v>88</v>
      </c>
      <c r="C68" s="20" t="n">
        <f aca="false">MIN(T5:T65)</f>
        <v>0.588684864864865</v>
      </c>
      <c r="D68" s="20" t="n">
        <f aca="false">MAX(T5:T65)</f>
        <v>0.648369230769231</v>
      </c>
    </row>
    <row r="69" customFormat="false" ht="15" hidden="false" customHeight="false" outlineLevel="0" collapsed="false">
      <c r="A69" s="21" t="s">
        <v>89</v>
      </c>
      <c r="C69" s="20" t="n">
        <f aca="false">MIN(W5:W65)</f>
        <v>0.6</v>
      </c>
      <c r="D69" s="20" t="n">
        <f aca="false">MAX(W5:W65)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2026-06-10T08:08:08Z</dcterms:created>
  <dc:creator>openpyxl</dc:creator>
  <dc:description/>
  <dc:language>en-US</dc:language>
  <cp:lastModifiedBy/>
  <dcterms:modified xsi:type="dcterms:W3CDTF">2026-06-10T08:08:09Z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