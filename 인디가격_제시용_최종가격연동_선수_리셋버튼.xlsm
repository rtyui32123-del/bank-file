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6380" windowHeight="12390" tabRatio="500" activeTab="1"/>
  </bookViews>
  <sheets>
    <sheet name="인디가격(EUR)" sheetId="2" r:id="rId1"/>
    <sheet name="인디가격2(JPY)" sheetId="5" r:id="rId2"/>
    <sheet name="인디가격3(그외)" sheetId="4" r:id="rId3"/>
    <sheet name="통화설정" sheetId="3" r:id="rId4"/>
    <sheet name="펀드신규절차" sheetId="6" r:id="rId5"/>
  </sheets>
  <calcPr calcId="1257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27" i="2"/>
  <c r="B10"/>
  <c r="H17" l="1"/>
  <c r="F15" i="4"/>
  <c r="F14"/>
  <c r="F13"/>
  <c r="F12"/>
  <c r="F11"/>
  <c r="F10"/>
  <c r="F9"/>
  <c r="F8"/>
  <c r="F7"/>
  <c r="F6"/>
  <c r="F5"/>
  <c r="F4"/>
  <c r="F15" i="5"/>
  <c r="F14"/>
  <c r="F13"/>
  <c r="F12"/>
  <c r="F11"/>
  <c r="F10"/>
  <c r="F9"/>
  <c r="F8"/>
  <c r="F7"/>
  <c r="F6"/>
  <c r="F5"/>
  <c r="F4"/>
  <c r="D27" l="1"/>
  <c r="E26" i="2"/>
  <c r="E17" i="4"/>
  <c r="D5" i="5"/>
  <c r="D6"/>
  <c r="D7"/>
  <c r="D8"/>
  <c r="D9"/>
  <c r="D10"/>
  <c r="D11"/>
  <c r="D12"/>
  <c r="D13"/>
  <c r="D14"/>
  <c r="D15"/>
  <c r="D4"/>
  <c r="I27"/>
  <c r="F27"/>
  <c r="I27" i="4" l="1"/>
  <c r="F27"/>
  <c r="D27"/>
  <c r="F27" i="2"/>
  <c r="I27" l="1"/>
  <c r="E18" i="4"/>
  <c r="H18"/>
  <c r="D5"/>
  <c r="D6"/>
  <c r="D7"/>
  <c r="D8"/>
  <c r="D9"/>
  <c r="D10"/>
  <c r="D11"/>
  <c r="D12"/>
  <c r="D13"/>
  <c r="D14"/>
  <c r="D15"/>
  <c r="D4"/>
  <c r="E19"/>
  <c r="M42" i="5"/>
  <c r="L42"/>
  <c r="K42" s="1"/>
  <c r="H42"/>
  <c r="E42"/>
  <c r="M41"/>
  <c r="L41"/>
  <c r="K41" s="1"/>
  <c r="H41"/>
  <c r="E41"/>
  <c r="M40"/>
  <c r="L40"/>
  <c r="K40"/>
  <c r="H40"/>
  <c r="E40"/>
  <c r="M39"/>
  <c r="L39"/>
  <c r="K39" s="1"/>
  <c r="H39"/>
  <c r="E39"/>
  <c r="M38"/>
  <c r="L38"/>
  <c r="K38"/>
  <c r="H38"/>
  <c r="E38"/>
  <c r="M37"/>
  <c r="L37"/>
  <c r="K37" s="1"/>
  <c r="H37"/>
  <c r="E37"/>
  <c r="M36"/>
  <c r="L36"/>
  <c r="K36"/>
  <c r="H36"/>
  <c r="E36"/>
  <c r="M35"/>
  <c r="O36" s="1"/>
  <c r="L35"/>
  <c r="K35" s="1"/>
  <c r="H35"/>
  <c r="E35"/>
  <c r="M34"/>
  <c r="O35" s="1"/>
  <c r="L34"/>
  <c r="K34"/>
  <c r="H34"/>
  <c r="E34"/>
  <c r="M33"/>
  <c r="O34" s="1"/>
  <c r="L33"/>
  <c r="K33" s="1"/>
  <c r="H33"/>
  <c r="E33"/>
  <c r="M32"/>
  <c r="O33" s="1"/>
  <c r="L32"/>
  <c r="K32"/>
  <c r="H32"/>
  <c r="E32"/>
  <c r="M31"/>
  <c r="O32" s="1"/>
  <c r="L31"/>
  <c r="K31" s="1"/>
  <c r="H31"/>
  <c r="E31"/>
  <c r="M30"/>
  <c r="O31" s="1"/>
  <c r="L30"/>
  <c r="K30"/>
  <c r="H30"/>
  <c r="E30"/>
  <c r="L29"/>
  <c r="K29" s="1"/>
  <c r="H29"/>
  <c r="E29"/>
  <c r="H27"/>
  <c r="E27"/>
  <c r="J26"/>
  <c r="H26"/>
  <c r="E26"/>
  <c r="J25"/>
  <c r="H25"/>
  <c r="E25"/>
  <c r="J24"/>
  <c r="H24"/>
  <c r="E24"/>
  <c r="J23"/>
  <c r="H23"/>
  <c r="E23"/>
  <c r="J22"/>
  <c r="H22"/>
  <c r="E22"/>
  <c r="J21"/>
  <c r="H21"/>
  <c r="E21"/>
  <c r="J20"/>
  <c r="H20"/>
  <c r="E20"/>
  <c r="H19"/>
  <c r="E19"/>
  <c r="H18"/>
  <c r="E18"/>
  <c r="H17"/>
  <c r="E17"/>
  <c r="J15"/>
  <c r="H15"/>
  <c r="J14"/>
  <c r="H14"/>
  <c r="J13"/>
  <c r="H13"/>
  <c r="J12"/>
  <c r="H12"/>
  <c r="J11"/>
  <c r="H11"/>
  <c r="J10"/>
  <c r="H10"/>
  <c r="B10"/>
  <c r="J9"/>
  <c r="H9"/>
  <c r="B9"/>
  <c r="J8"/>
  <c r="H8"/>
  <c r="B8"/>
  <c r="J7"/>
  <c r="H7"/>
  <c r="B7"/>
  <c r="J6"/>
  <c r="H6"/>
  <c r="B6"/>
  <c r="J19" s="1"/>
  <c r="J5"/>
  <c r="H5"/>
  <c r="J4"/>
  <c r="H4"/>
  <c r="M42" i="4"/>
  <c r="L42"/>
  <c r="K42"/>
  <c r="H42"/>
  <c r="E42"/>
  <c r="M41"/>
  <c r="L41"/>
  <c r="K41" s="1"/>
  <c r="H41"/>
  <c r="E41"/>
  <c r="M40"/>
  <c r="L40"/>
  <c r="K40" s="1"/>
  <c r="H40"/>
  <c r="E40"/>
  <c r="M39"/>
  <c r="L39"/>
  <c r="K39"/>
  <c r="H39"/>
  <c r="E39"/>
  <c r="M38"/>
  <c r="L38"/>
  <c r="K38"/>
  <c r="H38"/>
  <c r="E38"/>
  <c r="M37"/>
  <c r="L37"/>
  <c r="K37" s="1"/>
  <c r="H37"/>
  <c r="E37"/>
  <c r="M36"/>
  <c r="L36"/>
  <c r="K36"/>
  <c r="H36"/>
  <c r="E36"/>
  <c r="M35"/>
  <c r="O36" s="1"/>
  <c r="L35"/>
  <c r="K35"/>
  <c r="H35"/>
  <c r="E35"/>
  <c r="M34"/>
  <c r="O35" s="1"/>
  <c r="L34"/>
  <c r="K34" s="1"/>
  <c r="H34"/>
  <c r="E34"/>
  <c r="L33"/>
  <c r="K33" s="1"/>
  <c r="H33"/>
  <c r="E33"/>
  <c r="L32"/>
  <c r="K32" s="1"/>
  <c r="H32"/>
  <c r="E32"/>
  <c r="L31"/>
  <c r="K31" s="1"/>
  <c r="H31"/>
  <c r="E31"/>
  <c r="L30"/>
  <c r="K30" s="1"/>
  <c r="H30"/>
  <c r="E30"/>
  <c r="L29"/>
  <c r="K29" s="1"/>
  <c r="H29"/>
  <c r="E29"/>
  <c r="H27"/>
  <c r="E27"/>
  <c r="J26"/>
  <c r="H26"/>
  <c r="E26"/>
  <c r="J25"/>
  <c r="H25"/>
  <c r="E25"/>
  <c r="J24"/>
  <c r="H24"/>
  <c r="E24"/>
  <c r="J23"/>
  <c r="H23"/>
  <c r="E23"/>
  <c r="J22"/>
  <c r="H22"/>
  <c r="E22"/>
  <c r="H21"/>
  <c r="E21"/>
  <c r="H20"/>
  <c r="E20"/>
  <c r="H19"/>
  <c r="H17"/>
  <c r="J15"/>
  <c r="H15"/>
  <c r="J14"/>
  <c r="H14"/>
  <c r="J13"/>
  <c r="H13"/>
  <c r="J12"/>
  <c r="H12"/>
  <c r="J11"/>
  <c r="H11"/>
  <c r="J10"/>
  <c r="H10"/>
  <c r="B10"/>
  <c r="J9"/>
  <c r="H9"/>
  <c r="B9"/>
  <c r="J8"/>
  <c r="H8"/>
  <c r="B8"/>
  <c r="J7"/>
  <c r="H7"/>
  <c r="B7"/>
  <c r="J6"/>
  <c r="H6"/>
  <c r="B6"/>
  <c r="J5"/>
  <c r="H5"/>
  <c r="J4"/>
  <c r="H4"/>
  <c r="B5" l="1"/>
  <c r="O29" s="1"/>
  <c r="P34" s="1"/>
  <c r="K19" i="5"/>
  <c r="K8"/>
  <c r="J27"/>
  <c r="K27" s="1"/>
  <c r="J27" i="4"/>
  <c r="K27" s="1"/>
  <c r="J20"/>
  <c r="K20" s="1"/>
  <c r="J21"/>
  <c r="K21" s="1"/>
  <c r="M29" i="5"/>
  <c r="O30" s="1"/>
  <c r="M31" i="4"/>
  <c r="O32" s="1"/>
  <c r="M32"/>
  <c r="O33" s="1"/>
  <c r="M33"/>
  <c r="O34" s="1"/>
  <c r="K4"/>
  <c r="K7"/>
  <c r="K4" i="5"/>
  <c r="M30" i="4"/>
  <c r="O31" s="1"/>
  <c r="B5" i="5"/>
  <c r="O29" s="1"/>
  <c r="P36" s="1"/>
  <c r="K12"/>
  <c r="K20"/>
  <c r="K13"/>
  <c r="K15"/>
  <c r="J17"/>
  <c r="K17" s="1"/>
  <c r="K24"/>
  <c r="K7"/>
  <c r="K8" i="4"/>
  <c r="K5"/>
  <c r="K6"/>
  <c r="K13"/>
  <c r="J17"/>
  <c r="K17" s="1"/>
  <c r="M29"/>
  <c r="O30" s="1"/>
  <c r="J18"/>
  <c r="K18" s="1"/>
  <c r="K5" i="5"/>
  <c r="K9"/>
  <c r="K14"/>
  <c r="J18"/>
  <c r="K18" s="1"/>
  <c r="K22"/>
  <c r="K26"/>
  <c r="K11"/>
  <c r="K21"/>
  <c r="K25"/>
  <c r="K6"/>
  <c r="K10"/>
  <c r="K23"/>
  <c r="K12" i="4"/>
  <c r="K10"/>
  <c r="J19"/>
  <c r="K19" s="1"/>
  <c r="K23"/>
  <c r="K15"/>
  <c r="K24"/>
  <c r="K11"/>
  <c r="K25"/>
  <c r="K9"/>
  <c r="K14"/>
  <c r="K22"/>
  <c r="K26"/>
  <c r="P32" i="5" l="1"/>
  <c r="P35"/>
  <c r="P30"/>
  <c r="P31"/>
  <c r="P33"/>
  <c r="P34"/>
  <c r="P30" i="4"/>
  <c r="P35"/>
  <c r="P33"/>
  <c r="P31"/>
  <c r="P36"/>
  <c r="P32"/>
  <c r="H18" i="2"/>
  <c r="H19"/>
  <c r="H20"/>
  <c r="H21"/>
  <c r="H22"/>
  <c r="E41" l="1"/>
  <c r="L30"/>
  <c r="K30" s="1"/>
  <c r="L31"/>
  <c r="K31" s="1"/>
  <c r="L32"/>
  <c r="L33"/>
  <c r="K33" s="1"/>
  <c r="L34"/>
  <c r="K34" s="1"/>
  <c r="L35"/>
  <c r="L36"/>
  <c r="L37"/>
  <c r="K37" s="1"/>
  <c r="L38"/>
  <c r="K38" s="1"/>
  <c r="L39"/>
  <c r="K39" s="1"/>
  <c r="L40"/>
  <c r="L41"/>
  <c r="K41" s="1"/>
  <c r="L42"/>
  <c r="K42" s="1"/>
  <c r="L29"/>
  <c r="K29" s="1"/>
  <c r="K40"/>
  <c r="K36"/>
  <c r="K35"/>
  <c r="M42"/>
  <c r="H42"/>
  <c r="E42"/>
  <c r="M41"/>
  <c r="H41"/>
  <c r="M40"/>
  <c r="H40"/>
  <c r="E40"/>
  <c r="M39"/>
  <c r="H39"/>
  <c r="E39"/>
  <c r="M38"/>
  <c r="H38"/>
  <c r="E38"/>
  <c r="M37"/>
  <c r="H37"/>
  <c r="E37"/>
  <c r="M36"/>
  <c r="H36"/>
  <c r="E36"/>
  <c r="M35"/>
  <c r="O36" s="1"/>
  <c r="H35"/>
  <c r="E35"/>
  <c r="M34"/>
  <c r="O35" s="1"/>
  <c r="H34"/>
  <c r="E34"/>
  <c r="M33"/>
  <c r="O34" s="1"/>
  <c r="H33"/>
  <c r="E33"/>
  <c r="M32"/>
  <c r="O33" s="1"/>
  <c r="K32"/>
  <c r="H32"/>
  <c r="E32"/>
  <c r="H31"/>
  <c r="E31"/>
  <c r="H30"/>
  <c r="E30"/>
  <c r="H29"/>
  <c r="E29"/>
  <c r="H27"/>
  <c r="E27"/>
  <c r="J26"/>
  <c r="H26"/>
  <c r="J25"/>
  <c r="H25"/>
  <c r="E25"/>
  <c r="H24"/>
  <c r="J24" s="1"/>
  <c r="E24"/>
  <c r="J23"/>
  <c r="H23"/>
  <c r="E23"/>
  <c r="J22"/>
  <c r="E22"/>
  <c r="J21"/>
  <c r="E21"/>
  <c r="E20"/>
  <c r="E19"/>
  <c r="E18"/>
  <c r="E17"/>
  <c r="H15"/>
  <c r="J15" s="1"/>
  <c r="H14"/>
  <c r="J14" s="1"/>
  <c r="H13"/>
  <c r="J13" s="1"/>
  <c r="J12"/>
  <c r="H12"/>
  <c r="H11"/>
  <c r="J11" s="1"/>
  <c r="H10"/>
  <c r="J10" s="1"/>
  <c r="H9"/>
  <c r="J9" s="1"/>
  <c r="H8"/>
  <c r="J8" s="1"/>
  <c r="B9"/>
  <c r="H7"/>
  <c r="J7" s="1"/>
  <c r="B8"/>
  <c r="H6"/>
  <c r="B7"/>
  <c r="H5"/>
  <c r="B6"/>
  <c r="H4"/>
  <c r="J17" l="1"/>
  <c r="K17" s="1"/>
  <c r="J27"/>
  <c r="K27" s="1"/>
  <c r="J19"/>
  <c r="K19" s="1"/>
  <c r="M31"/>
  <c r="O32" s="1"/>
  <c r="M30"/>
  <c r="O31" s="1"/>
  <c r="J20"/>
  <c r="K20" s="1"/>
  <c r="B5"/>
  <c r="O29" s="1"/>
  <c r="M29"/>
  <c r="O30" s="1"/>
  <c r="J6"/>
  <c r="K6" s="1"/>
  <c r="K13"/>
  <c r="K10"/>
  <c r="K15"/>
  <c r="K21"/>
  <c r="K22"/>
  <c r="K23"/>
  <c r="K24"/>
  <c r="K25"/>
  <c r="K26"/>
  <c r="K11"/>
  <c r="K14"/>
  <c r="K12"/>
  <c r="J18"/>
  <c r="K18" s="1"/>
  <c r="K7"/>
  <c r="K8"/>
  <c r="K9"/>
  <c r="J4"/>
  <c r="K4" s="1"/>
  <c r="J5"/>
  <c r="K5" s="1"/>
  <c r="P34" l="1"/>
  <c r="P32"/>
  <c r="P31"/>
  <c r="P33"/>
  <c r="P30"/>
  <c r="P36"/>
  <c r="P35"/>
</calcChain>
</file>

<file path=xl/sharedStrings.xml><?xml version="1.0" encoding="utf-8"?>
<sst xmlns="http://schemas.openxmlformats.org/spreadsheetml/2006/main" count="241" uniqueCount="101">
  <si>
    <r>
      <rPr>
        <b/>
        <sz val="11"/>
        <rFont val="Cambria"/>
        <family val="1"/>
        <charset val="1"/>
      </rPr>
      <t>[</t>
    </r>
    <r>
      <rPr>
        <b/>
        <sz val="11"/>
        <rFont val="Noto Sans CJK SC"/>
        <family val="2"/>
      </rPr>
      <t>최종가격 자동계산</t>
    </r>
    <r>
      <rPr>
        <b/>
        <sz val="11"/>
        <rFont val="Cambria"/>
        <family val="1"/>
        <charset val="1"/>
      </rPr>
      <t>]</t>
    </r>
  </si>
  <si>
    <t>통화쌍</t>
  </si>
  <si>
    <t>EUR/KRW</t>
  </si>
  <si>
    <r>
      <rPr>
        <sz val="11"/>
        <color theme="1"/>
        <rFont val="맑은 고딕"/>
        <family val="2"/>
        <charset val="129"/>
      </rPr>
      <t xml:space="preserve">USD/KRW </t>
    </r>
    <r>
      <rPr>
        <sz val="11"/>
        <color theme="1"/>
        <rFont val="Noto Sans CJK SC"/>
        <family val="2"/>
      </rPr>
      <t>환율</t>
    </r>
  </si>
  <si>
    <t xml:space="preserve">날짜 </t>
  </si>
  <si>
    <t>가격(MID)</t>
  </si>
  <si>
    <t>스프레드</t>
  </si>
  <si>
    <t>가격(스프레드감안)</t>
  </si>
  <si>
    <t>이종가격</t>
  </si>
  <si>
    <t>비고</t>
  </si>
  <si>
    <t>이종통화 환율(대미환)</t>
  </si>
  <si>
    <t>표준
결제일</t>
  </si>
  <si>
    <t>01M</t>
  </si>
  <si>
    <t>계산방식</t>
  </si>
  <si>
    <t>02M</t>
  </si>
  <si>
    <t>핍단위</t>
  </si>
  <si>
    <t>03M</t>
  </si>
  <si>
    <t>자릿수</t>
  </si>
  <si>
    <t>04M</t>
  </si>
  <si>
    <t>표시배수</t>
  </si>
  <si>
    <t>05M</t>
  </si>
  <si>
    <t>금리차(KRW-이종,%p)</t>
  </si>
  <si>
    <t>06M</t>
  </si>
  <si>
    <t>키움</t>
  </si>
  <si>
    <t>07M</t>
  </si>
  <si>
    <t>하나</t>
  </si>
  <si>
    <t>08M</t>
  </si>
  <si>
    <t>흥국</t>
  </si>
  <si>
    <t>09M</t>
  </si>
  <si>
    <t>우리(각각)</t>
  </si>
  <si>
    <t>10M</t>
  </si>
  <si>
    <t>카디안(각각)</t>
  </si>
  <si>
    <t>11M</t>
  </si>
  <si>
    <t>한국투신</t>
  </si>
  <si>
    <t>01Y</t>
  </si>
  <si>
    <t>유진</t>
  </si>
  <si>
    <t>비표준
결제일</t>
  </si>
  <si>
    <t>다올</t>
  </si>
  <si>
    <t>삼성</t>
  </si>
  <si>
    <t>파인만</t>
  </si>
  <si>
    <t>현대(각각)</t>
  </si>
  <si>
    <t>한화(각각)</t>
  </si>
  <si>
    <r>
      <rPr>
        <b/>
        <sz val="11.5"/>
        <color theme="1"/>
        <rFont val="맑은 고딕"/>
        <family val="3"/>
        <charset val="129"/>
      </rPr>
      <t>KB(18</t>
    </r>
    <r>
      <rPr>
        <b/>
        <sz val="11.5"/>
        <color theme="1"/>
        <rFont val="Noto Sans CJK SC"/>
        <family val="2"/>
      </rPr>
      <t>개월</t>
    </r>
    <r>
      <rPr>
        <b/>
        <sz val="11.5"/>
        <color theme="1"/>
        <rFont val="맑은 고딕"/>
        <family val="3"/>
        <charset val="129"/>
      </rPr>
      <t>)</t>
    </r>
  </si>
  <si>
    <t>신한</t>
  </si>
  <si>
    <t>미래에셋</t>
  </si>
  <si>
    <t>유리(각각)</t>
  </si>
  <si>
    <t>20/25/35</t>
  </si>
  <si>
    <t>DB</t>
  </si>
  <si>
    <r>
      <rPr>
        <b/>
        <sz val="11"/>
        <color theme="1"/>
        <rFont val="맑은 고딕"/>
        <family val="3"/>
        <charset val="129"/>
      </rPr>
      <t>USD</t>
    </r>
    <r>
      <rPr>
        <b/>
        <sz val="11"/>
        <color theme="1"/>
        <rFont val="Noto Sans CJK SC"/>
        <family val="2"/>
      </rPr>
      <t>가격</t>
    </r>
  </si>
  <si>
    <t>JPY/KRW</t>
  </si>
  <si>
    <t>이종 핍단위</t>
  </si>
  <si>
    <t>반올림 자릿수</t>
  </si>
  <si>
    <t>이종통화 정책금리(%)</t>
  </si>
  <si>
    <t>한국 기준금리(%)</t>
  </si>
  <si>
    <t>USD/KRW</t>
  </si>
  <si>
    <t>-</t>
  </si>
  <si>
    <t>이종환율 불필요, 스프레드감안(H)가 최종가격</t>
  </si>
  <si>
    <t>CNH/KRW</t>
  </si>
  <si>
    <t>나눗셈</t>
  </si>
  <si>
    <r>
      <rPr>
        <sz val="11"/>
        <color theme="1"/>
        <rFont val="맑은 고딕"/>
        <family val="2"/>
        <charset val="129"/>
      </rPr>
      <t xml:space="preserve">USD/CNH </t>
    </r>
    <r>
      <rPr>
        <sz val="11"/>
        <color theme="1"/>
        <rFont val="Noto Sans CJK SC"/>
        <family val="2"/>
      </rPr>
      <t>환율 입력</t>
    </r>
  </si>
  <si>
    <t>CNY/KRW</t>
  </si>
  <si>
    <r>
      <rPr>
        <sz val="11"/>
        <color theme="1"/>
        <rFont val="맑은 고딕"/>
        <family val="2"/>
        <charset val="129"/>
      </rPr>
      <t xml:space="preserve">USD/CNY </t>
    </r>
    <r>
      <rPr>
        <sz val="11"/>
        <color theme="1"/>
        <rFont val="Noto Sans CJK SC"/>
        <family val="2"/>
      </rPr>
      <t>환율 입력</t>
    </r>
  </si>
  <si>
    <r>
      <rPr>
        <sz val="11"/>
        <color theme="1"/>
        <rFont val="맑은 고딕"/>
        <family val="2"/>
        <charset val="129"/>
      </rPr>
      <t xml:space="preserve">USD/JPY </t>
    </r>
    <r>
      <rPr>
        <sz val="11"/>
        <color theme="1"/>
        <rFont val="Noto Sans CJK SC"/>
        <family val="2"/>
      </rPr>
      <t>환율 입력</t>
    </r>
    <r>
      <rPr>
        <sz val="11"/>
        <color theme="1"/>
        <rFont val="맑은 고딕"/>
        <family val="2"/>
        <charset val="129"/>
      </rPr>
      <t>, 100</t>
    </r>
    <r>
      <rPr>
        <sz val="11"/>
        <color theme="1"/>
        <rFont val="Noto Sans CJK SC"/>
        <family val="2"/>
      </rPr>
      <t>엔당 표시</t>
    </r>
  </si>
  <si>
    <t>곱셈</t>
  </si>
  <si>
    <r>
      <rPr>
        <sz val="11"/>
        <color theme="1"/>
        <rFont val="맑은 고딕"/>
        <family val="2"/>
        <charset val="129"/>
      </rPr>
      <t xml:space="preserve">EUR/USD </t>
    </r>
    <r>
      <rPr>
        <sz val="11"/>
        <color theme="1"/>
        <rFont val="Noto Sans CJK SC"/>
        <family val="2"/>
      </rPr>
      <t>환율 입력</t>
    </r>
  </si>
  <si>
    <t>AUD/KRW</t>
  </si>
  <si>
    <r>
      <rPr>
        <sz val="11"/>
        <color theme="1"/>
        <rFont val="맑은 고딕"/>
        <family val="2"/>
        <charset val="129"/>
      </rPr>
      <t xml:space="preserve">AUD/USD </t>
    </r>
    <r>
      <rPr>
        <sz val="11"/>
        <color theme="1"/>
        <rFont val="Noto Sans CJK SC"/>
        <family val="2"/>
      </rPr>
      <t>환율 입력</t>
    </r>
  </si>
  <si>
    <t>GBP/KRW</t>
  </si>
  <si>
    <r>
      <rPr>
        <sz val="11"/>
        <color theme="1"/>
        <rFont val="맑은 고딕"/>
        <family val="2"/>
        <charset val="129"/>
      </rPr>
      <t xml:space="preserve">GBP/USD </t>
    </r>
    <r>
      <rPr>
        <sz val="11"/>
        <color theme="1"/>
        <rFont val="Noto Sans CJK SC"/>
        <family val="2"/>
      </rPr>
      <t>환율 입력</t>
    </r>
  </si>
  <si>
    <t>NZD/KRW</t>
  </si>
  <si>
    <r>
      <rPr>
        <sz val="11"/>
        <color theme="1"/>
        <rFont val="맑은 고딕"/>
        <family val="2"/>
        <charset val="129"/>
      </rPr>
      <t xml:space="preserve">NZD/USD </t>
    </r>
    <r>
      <rPr>
        <sz val="11"/>
        <color theme="1"/>
        <rFont val="Noto Sans CJK SC"/>
        <family val="2"/>
      </rPr>
      <t>환율 입력</t>
    </r>
  </si>
  <si>
    <t>HKD/KRW</t>
  </si>
  <si>
    <r>
      <rPr>
        <sz val="11"/>
        <color theme="1"/>
        <rFont val="맑은 고딕"/>
        <family val="2"/>
        <charset val="129"/>
      </rPr>
      <t xml:space="preserve">USD/HKD </t>
    </r>
    <r>
      <rPr>
        <sz val="11"/>
        <color theme="1"/>
        <rFont val="Noto Sans CJK SC"/>
        <family val="2"/>
      </rPr>
      <t>환율 입력</t>
    </r>
  </si>
  <si>
    <t>SGD/KRW</t>
  </si>
  <si>
    <r>
      <rPr>
        <sz val="11"/>
        <color theme="1"/>
        <rFont val="맑은 고딕"/>
        <family val="2"/>
        <charset val="129"/>
      </rPr>
      <t xml:space="preserve">USD/SGD </t>
    </r>
    <r>
      <rPr>
        <sz val="11"/>
        <color theme="1"/>
        <rFont val="Noto Sans CJK SC"/>
        <family val="2"/>
      </rPr>
      <t>환율 입력</t>
    </r>
  </si>
  <si>
    <t>CHF/KRW</t>
  </si>
  <si>
    <r>
      <rPr>
        <sz val="11"/>
        <color theme="1"/>
        <rFont val="맑은 고딕"/>
        <family val="2"/>
        <charset val="129"/>
      </rPr>
      <t xml:space="preserve">USD/CHF </t>
    </r>
    <r>
      <rPr>
        <sz val="11"/>
        <color theme="1"/>
        <rFont val="Noto Sans CJK SC"/>
        <family val="2"/>
      </rPr>
      <t>환율 입력</t>
    </r>
  </si>
  <si>
    <t>CAD/KRW</t>
  </si>
  <si>
    <r>
      <rPr>
        <sz val="11"/>
        <color theme="1"/>
        <rFont val="맑은 고딕"/>
        <family val="2"/>
        <charset val="129"/>
      </rPr>
      <t xml:space="preserve">USD/CAD </t>
    </r>
    <r>
      <rPr>
        <sz val="11"/>
        <color theme="1"/>
        <rFont val="Noto Sans CJK SC"/>
        <family val="2"/>
      </rPr>
      <t>환율 입력</t>
    </r>
  </si>
  <si>
    <t>※ 재정환율계산기의 계산식과 동일: 최종가격 = ROUNDDOWN(원화선물환/이종선물환) - ROUNDDOWN(원화현물/이종현물)</t>
  </si>
  <si>
    <t>※ 정책금리는 참고용 예시값 — 반드시 최신 금리로 수정해서 사용 (허용오차는 이론가 대비 ±50%)</t>
  </si>
  <si>
    <t>※ 곱셈 통화(EUR, AUD, GBP, NZD)는 대미환이 XXX/USD로 고시되므로 곱셈 적용</t>
  </si>
  <si>
    <t>CROSS SPOT(현물)</t>
  </si>
  <si>
    <t>이종스왑</t>
    <phoneticPr fontId="21" type="noConversion"/>
  </si>
  <si>
    <r>
      <t>결제일 1년이내</t>
    </r>
    <r>
      <rPr>
        <b/>
        <sz val="11"/>
        <color rgb="FFFF0000"/>
        <rFont val="Noto Sans CJK SC"/>
        <family val="3"/>
        <charset val="129"/>
      </rPr>
      <t xml:space="preserve">★
</t>
    </r>
    <r>
      <rPr>
        <b/>
        <sz val="11"/>
        <color theme="1"/>
        <rFont val="Noto Sans CJK SC"/>
        <family val="2"/>
        <charset val="1"/>
      </rPr>
      <t>(현재SPOT기준)</t>
    </r>
    <phoneticPr fontId="21" type="noConversion"/>
  </si>
  <si>
    <t>날짜</t>
    <phoneticPr fontId="21" type="noConversion"/>
  </si>
  <si>
    <t>IBK</t>
    <phoneticPr fontId="21" type="noConversion"/>
  </si>
  <si>
    <t>스프레드</t>
    <phoneticPr fontId="21" type="noConversion"/>
  </si>
  <si>
    <t>환율</t>
    <phoneticPr fontId="21" type="noConversion"/>
  </si>
  <si>
    <t xml:space="preserve"> 서밋 스프레드는 X 100 으로 입력</t>
    <phoneticPr fontId="21" type="noConversion"/>
  </si>
  <si>
    <r>
      <t>KB(18</t>
    </r>
    <r>
      <rPr>
        <b/>
        <sz val="11.5"/>
        <color rgb="FF00B0F0"/>
        <rFont val="Noto Sans CJK SC"/>
        <family val="2"/>
      </rPr>
      <t>개월</t>
    </r>
    <r>
      <rPr>
        <b/>
        <sz val="11.5"/>
        <color rgb="FF00B0F0"/>
        <rFont val="맑은 고딕"/>
        <family val="3"/>
        <charset val="129"/>
      </rPr>
      <t>)</t>
    </r>
  </si>
  <si>
    <t>EUR,GBP,AUD,NZD / USD</t>
    <phoneticPr fontId="21" type="noConversion"/>
  </si>
  <si>
    <t xml:space="preserve">USD / JPY, HKD, CNY, CAD, </t>
    <phoneticPr fontId="21" type="noConversion"/>
  </si>
  <si>
    <t xml:space="preserve"> -펀드라인신규는 일단 신혜윤 대리님에게 펀드 신규추가 요청하기</t>
    <phoneticPr fontId="21" type="noConversion"/>
  </si>
  <si>
    <t xml:space="preserve"> - 공문올려서 결재받기(펀드 심사)</t>
    <phoneticPr fontId="21" type="noConversion"/>
  </si>
  <si>
    <t xml:space="preserve"> -지원부에서 등록 완료되면 3601(수익증권 종목 관리)에 등록하기(펀드명, 예탁원종목코드)</t>
    <phoneticPr fontId="21" type="noConversion"/>
  </si>
  <si>
    <t>12 AND 7</t>
    <phoneticPr fontId="21" type="noConversion"/>
  </si>
  <si>
    <t>유진</t>
    <phoneticPr fontId="21" type="noConversion"/>
  </si>
  <si>
    <t>15/20/25</t>
    <phoneticPr fontId="21" type="noConversion"/>
  </si>
  <si>
    <t>20/30/40</t>
    <phoneticPr fontId="21" type="noConversion"/>
  </si>
  <si>
    <t>10/15/20</t>
    <phoneticPr fontId="21" type="noConversion"/>
  </si>
</sst>
</file>

<file path=xl/styles.xml><?xml version="1.0" encoding="utf-8"?>
<styleSheet xmlns="http://schemas.openxmlformats.org/spreadsheetml/2006/main">
  <numFmts count="7">
    <numFmt numFmtId="176" formatCode="mm&quot;월 &quot;dd&quot;일&quot;"/>
    <numFmt numFmtId="177" formatCode="0.0000"/>
    <numFmt numFmtId="178" formatCode="m/d/yyyy"/>
    <numFmt numFmtId="179" formatCode="0&quot;개월&quot;"/>
    <numFmt numFmtId="180" formatCode="0.000"/>
    <numFmt numFmtId="181" formatCode="_-* #,##0_-;\-* #,##0_-;_-* \-_-;_-@_-"/>
    <numFmt numFmtId="182" formatCode="mm&quot;월&quot;\ dd&quot;일&quot;"/>
  </numFmts>
  <fonts count="29">
    <font>
      <sz val="11"/>
      <color theme="1"/>
      <name val="맑은 고딕"/>
      <family val="2"/>
      <charset val="129"/>
    </font>
    <font>
      <b/>
      <sz val="11"/>
      <name val="Cambria"/>
      <family val="1"/>
      <charset val="1"/>
    </font>
    <font>
      <b/>
      <sz val="11"/>
      <name val="Noto Sans CJK SC"/>
      <family val="2"/>
    </font>
    <font>
      <sz val="11"/>
      <color theme="1"/>
      <name val="Noto Sans CJK SC"/>
      <family val="2"/>
      <charset val="1"/>
    </font>
    <font>
      <sz val="11"/>
      <color rgb="FF0000FF"/>
      <name val="Cambria"/>
      <family val="1"/>
      <charset val="1"/>
    </font>
    <font>
      <sz val="11"/>
      <name val="맑은 고딕"/>
      <family val="3"/>
      <charset val="129"/>
    </font>
    <font>
      <sz val="11"/>
      <color theme="1"/>
      <name val="Noto Sans CJK SC"/>
      <family val="2"/>
    </font>
    <font>
      <b/>
      <sz val="11"/>
      <color theme="1"/>
      <name val="Noto Sans CJK SC"/>
      <family val="2"/>
      <charset val="1"/>
    </font>
    <font>
      <sz val="11"/>
      <color rgb="FF00B0F0"/>
      <name val="Noto Sans CJK SC"/>
      <family val="2"/>
      <charset val="1"/>
    </font>
    <font>
      <b/>
      <sz val="12"/>
      <name val="Noto Sans CJK SC"/>
      <family val="2"/>
      <charset val="1"/>
    </font>
    <font>
      <b/>
      <sz val="11"/>
      <color theme="1"/>
      <name val="맑은 고딕"/>
      <family val="3"/>
      <charset val="129"/>
    </font>
    <font>
      <sz val="9"/>
      <color rgb="FF808080"/>
      <name val="Noto Sans CJK SC"/>
      <family val="2"/>
      <charset val="1"/>
    </font>
    <font>
      <b/>
      <sz val="11.5"/>
      <color theme="1"/>
      <name val="Noto Sans CJK SC"/>
      <family val="2"/>
      <charset val="1"/>
    </font>
    <font>
      <sz val="11.5"/>
      <color theme="1"/>
      <name val="맑은 고딕"/>
      <family val="2"/>
      <charset val="129"/>
    </font>
    <font>
      <b/>
      <sz val="9"/>
      <color rgb="FF808080"/>
      <name val="Cambria"/>
      <family val="1"/>
      <charset val="1"/>
    </font>
    <font>
      <sz val="9"/>
      <color rgb="FF808080"/>
      <name val="Cambria"/>
      <family val="1"/>
      <charset val="1"/>
    </font>
    <font>
      <b/>
      <sz val="11.5"/>
      <color theme="1"/>
      <name val="맑은 고딕"/>
      <family val="3"/>
      <charset val="129"/>
    </font>
    <font>
      <b/>
      <sz val="11.5"/>
      <color theme="1"/>
      <name val="Noto Sans CJK SC"/>
      <family val="2"/>
    </font>
    <font>
      <b/>
      <sz val="11"/>
      <color theme="1"/>
      <name val="Noto Sans CJK SC"/>
      <family val="2"/>
    </font>
    <font>
      <b/>
      <sz val="11"/>
      <name val="Noto Sans CJK SC"/>
      <family val="2"/>
      <charset val="1"/>
    </font>
    <font>
      <sz val="9"/>
      <color rgb="FF808080"/>
      <name val="Noto Sans CJK SC"/>
      <family val="3"/>
      <charset val="129"/>
    </font>
    <font>
      <sz val="8"/>
      <name val="맑은 고딕"/>
      <family val="2"/>
      <charset val="129"/>
    </font>
    <font>
      <sz val="11"/>
      <color rgb="FFFF0000"/>
      <name val="맑은 고딕"/>
      <family val="2"/>
      <charset val="129"/>
    </font>
    <font>
      <b/>
      <sz val="9"/>
      <color theme="1"/>
      <name val="Noto Sans CJK SC"/>
      <family val="3"/>
      <charset val="129"/>
    </font>
    <font>
      <b/>
      <sz val="11"/>
      <color rgb="FFFF0000"/>
      <name val="Noto Sans CJK SC"/>
      <family val="3"/>
      <charset val="129"/>
    </font>
    <font>
      <b/>
      <sz val="11"/>
      <color rgb="FF00B0F0"/>
      <name val="맑은 고딕"/>
      <family val="3"/>
      <charset val="129"/>
    </font>
    <font>
      <b/>
      <sz val="11.5"/>
      <color rgb="FF00B0F0"/>
      <name val="맑은 고딕"/>
      <family val="3"/>
      <charset val="129"/>
    </font>
    <font>
      <b/>
      <sz val="11.5"/>
      <color rgb="FF00B0F0"/>
      <name val="Noto Sans CJK SC"/>
      <family val="2"/>
    </font>
    <font>
      <b/>
      <sz val="11.5"/>
      <color theme="1"/>
      <name val="돋움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rgb="FFD7E4BD"/>
      </patternFill>
    </fill>
    <fill>
      <patternFill patternType="solid">
        <fgColor rgb="FFFFFF00"/>
        <bgColor rgb="FFFFFF00"/>
      </patternFill>
    </fill>
    <fill>
      <patternFill patternType="solid">
        <fgColor theme="6" tint="0.59978026673177287"/>
        <bgColor rgb="FFD9D9D9"/>
      </patternFill>
    </fill>
    <fill>
      <patternFill patternType="solid">
        <fgColor theme="9" tint="0.39979247413556324"/>
        <bgColor rgb="FFF2BFBE"/>
      </patternFill>
    </fill>
    <fill>
      <patternFill patternType="solid">
        <fgColor rgb="FF00B0F0"/>
        <bgColor rgb="FF33CCCC"/>
      </patternFill>
    </fill>
    <fill>
      <patternFill patternType="solid">
        <fgColor theme="0"/>
        <bgColor rgb="FFFFFFCC"/>
      </patternFill>
    </fill>
    <fill>
      <patternFill patternType="solid">
        <fgColor rgb="FFF2BFBE"/>
        <bgColor rgb="FFFFC7CE"/>
      </patternFill>
    </fill>
    <fill>
      <patternFill patternType="solid">
        <fgColor rgb="FFFFC000"/>
        <bgColor rgb="FFFF99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rgb="FFD7E4BD"/>
      </patternFill>
    </fill>
    <fill>
      <patternFill patternType="solid">
        <fgColor theme="0" tint="-0.14999847407452621"/>
        <bgColor rgb="FFD9D9D9"/>
      </patternFill>
    </fill>
    <fill>
      <patternFill patternType="mediumGray">
        <fgColor rgb="FFD7E4BD"/>
        <bgColor theme="0" tint="-0.14999847407452621"/>
      </patternFill>
    </fill>
    <fill>
      <patternFill patternType="mediumGray">
        <fgColor rgb="FF33CCCC"/>
        <bgColor rgb="FF00B0F0"/>
      </patternFill>
    </fill>
    <fill>
      <patternFill patternType="mediumGray">
        <fgColor rgb="FFD9D9D9"/>
        <bgColor theme="6" tint="0.59978026673177287"/>
      </patternFill>
    </fill>
    <fill>
      <patternFill patternType="mediumGray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9D9D9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rgb="FFFF0000"/>
      </left>
      <right/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FF0000"/>
      </left>
      <right style="medium">
        <color rgb="FFFF0000"/>
      </right>
      <top style="thin">
        <color auto="1"/>
      </top>
      <bottom/>
      <diagonal/>
    </border>
    <border>
      <left style="medium">
        <color rgb="FFFF0000"/>
      </left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0" fontId="0" fillId="0" borderId="0" xfId="0" applyAlignment="1"/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3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2" fontId="4" fillId="3" borderId="1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9" fillId="6" borderId="7" xfId="0" applyFont="1" applyFill="1" applyBorder="1" applyAlignment="1">
      <alignment vertical="center"/>
    </xf>
    <xf numFmtId="0" fontId="3" fillId="0" borderId="9" xfId="0" applyFont="1" applyBorder="1" applyAlignment="1">
      <alignment vertical="center"/>
    </xf>
    <xf numFmtId="177" fontId="4" fillId="3" borderId="1" xfId="0" applyNumberFormat="1" applyFont="1" applyFill="1" applyBorder="1" applyAlignment="1">
      <alignment vertical="center"/>
    </xf>
    <xf numFmtId="179" fontId="10" fillId="4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3" xfId="0" applyFill="1" applyBorder="1" applyAlignment="1">
      <alignment vertical="center"/>
    </xf>
    <xf numFmtId="2" fontId="1" fillId="4" borderId="13" xfId="0" applyNumberFormat="1" applyFont="1" applyFill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1" fillId="2" borderId="0" xfId="0" applyFont="1" applyFill="1" applyAlignment="1">
      <alignment vertical="center"/>
    </xf>
    <xf numFmtId="179" fontId="10" fillId="4" borderId="15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180" fontId="11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179" fontId="10" fillId="4" borderId="17" xfId="0" applyNumberFormat="1" applyFont="1" applyFill="1" applyBorder="1" applyAlignment="1">
      <alignment horizontal="center" vertical="center"/>
    </xf>
    <xf numFmtId="179" fontId="10" fillId="4" borderId="19" xfId="0" applyNumberFormat="1" applyFont="1" applyFill="1" applyBorder="1" applyAlignment="1">
      <alignment horizontal="center" vertical="center"/>
    </xf>
    <xf numFmtId="0" fontId="0" fillId="4" borderId="19" xfId="0" applyFill="1" applyBorder="1" applyAlignment="1">
      <alignment vertical="center"/>
    </xf>
    <xf numFmtId="2" fontId="1" fillId="4" borderId="19" xfId="0" applyNumberFormat="1" applyFont="1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2" borderId="21" xfId="0" applyFill="1" applyBorder="1" applyAlignment="1">
      <alignment vertical="center"/>
    </xf>
    <xf numFmtId="0" fontId="16" fillId="0" borderId="0" xfId="0" applyFont="1" applyAlignment="1">
      <alignment vertical="center"/>
    </xf>
    <xf numFmtId="0" fontId="0" fillId="4" borderId="12" xfId="0" applyFill="1" applyBorder="1" applyAlignment="1">
      <alignment vertical="center"/>
    </xf>
    <xf numFmtId="2" fontId="1" fillId="4" borderId="12" xfId="0" applyNumberFormat="1" applyFont="1" applyFill="1" applyBorder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178" fontId="10" fillId="4" borderId="7" xfId="0" applyNumberFormat="1" applyFont="1" applyFill="1" applyBorder="1" applyAlignment="1">
      <alignment vertical="center"/>
    </xf>
    <xf numFmtId="179" fontId="10" fillId="4" borderId="7" xfId="0" applyNumberFormat="1" applyFont="1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181" fontId="0" fillId="2" borderId="0" xfId="0" applyNumberFormat="1" applyFill="1" applyAlignment="1">
      <alignment vertical="center"/>
    </xf>
    <xf numFmtId="178" fontId="10" fillId="4" borderId="17" xfId="0" applyNumberFormat="1" applyFont="1" applyFill="1" applyBorder="1" applyAlignment="1">
      <alignment vertical="center"/>
    </xf>
    <xf numFmtId="0" fontId="0" fillId="0" borderId="27" xfId="0" applyBorder="1" applyAlignment="1">
      <alignment vertical="center"/>
    </xf>
    <xf numFmtId="179" fontId="10" fillId="4" borderId="17" xfId="0" applyNumberFormat="1" applyFont="1" applyFill="1" applyBorder="1" applyAlignment="1">
      <alignment vertical="center"/>
    </xf>
    <xf numFmtId="2" fontId="0" fillId="0" borderId="27" xfId="0" applyNumberFormat="1" applyBorder="1" applyAlignment="1">
      <alignment vertical="center"/>
    </xf>
    <xf numFmtId="0" fontId="0" fillId="7" borderId="28" xfId="0" applyFill="1" applyBorder="1" applyAlignment="1">
      <alignment vertical="center"/>
    </xf>
    <xf numFmtId="178" fontId="10" fillId="2" borderId="0" xfId="0" applyNumberFormat="1" applyFont="1" applyFill="1" applyAlignment="1">
      <alignment vertical="center"/>
    </xf>
    <xf numFmtId="176" fontId="0" fillId="2" borderId="0" xfId="0" applyNumberFormat="1" applyFill="1" applyAlignment="1">
      <alignment vertical="center"/>
    </xf>
    <xf numFmtId="178" fontId="10" fillId="4" borderId="29" xfId="0" applyNumberFormat="1" applyFont="1" applyFill="1" applyBorder="1" applyAlignment="1">
      <alignment vertical="center"/>
    </xf>
    <xf numFmtId="0" fontId="0" fillId="0" borderId="31" xfId="0" applyBorder="1" applyAlignment="1">
      <alignment vertical="center"/>
    </xf>
    <xf numFmtId="179" fontId="10" fillId="4" borderId="29" xfId="0" applyNumberFormat="1" applyFont="1" applyFill="1" applyBorder="1" applyAlignment="1">
      <alignment vertical="center"/>
    </xf>
    <xf numFmtId="0" fontId="0" fillId="7" borderId="32" xfId="0" applyFill="1" applyBorder="1" applyAlignment="1">
      <alignment vertical="center"/>
    </xf>
    <xf numFmtId="178" fontId="0" fillId="2" borderId="0" xfId="0" applyNumberFormat="1" applyFill="1" applyAlignment="1">
      <alignment vertical="center"/>
    </xf>
    <xf numFmtId="0" fontId="0" fillId="2" borderId="0" xfId="0" applyFill="1" applyAlignment="1"/>
    <xf numFmtId="178" fontId="0" fillId="0" borderId="0" xfId="0" applyNumberFormat="1" applyAlignment="1"/>
    <xf numFmtId="0" fontId="19" fillId="2" borderId="0" xfId="0" applyFont="1" applyFill="1" applyAlignment="1">
      <alignment horizontal="center"/>
    </xf>
    <xf numFmtId="0" fontId="19" fillId="0" borderId="0" xfId="0" applyFont="1" applyAlignment="1"/>
    <xf numFmtId="0" fontId="3" fillId="0" borderId="0" xfId="0" applyFont="1" applyAlignment="1"/>
    <xf numFmtId="180" fontId="4" fillId="3" borderId="1" xfId="0" applyNumberFormat="1" applyFont="1" applyFill="1" applyBorder="1" applyAlignment="1"/>
    <xf numFmtId="0" fontId="11" fillId="0" borderId="0" xfId="0" applyFont="1" applyAlignment="1"/>
    <xf numFmtId="0" fontId="20" fillId="0" borderId="0" xfId="0" applyFont="1" applyAlignment="1"/>
    <xf numFmtId="14" fontId="10" fillId="7" borderId="11" xfId="0" applyNumberFormat="1" applyFont="1" applyFill="1" applyBorder="1" applyAlignment="1">
      <alignment horizontal="center" vertical="center"/>
    </xf>
    <xf numFmtId="14" fontId="10" fillId="7" borderId="16" xfId="0" applyNumberFormat="1" applyFont="1" applyFill="1" applyBorder="1" applyAlignment="1">
      <alignment horizontal="center" vertical="center"/>
    </xf>
    <xf numFmtId="14" fontId="10" fillId="7" borderId="18" xfId="0" applyNumberFormat="1" applyFont="1" applyFill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14" fontId="0" fillId="0" borderId="5" xfId="0" applyNumberFormat="1" applyBorder="1" applyAlignment="1">
      <alignment vertical="center"/>
    </xf>
    <xf numFmtId="14" fontId="0" fillId="0" borderId="26" xfId="0" applyNumberFormat="1" applyBorder="1" applyAlignment="1">
      <alignment vertical="center"/>
    </xf>
    <xf numFmtId="14" fontId="0" fillId="0" borderId="30" xfId="0" applyNumberFormat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22" fillId="10" borderId="0" xfId="0" applyFont="1" applyFill="1" applyAlignment="1"/>
    <xf numFmtId="0" fontId="23" fillId="2" borderId="0" xfId="0" applyFont="1" applyFill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5" fillId="2" borderId="20" xfId="0" applyFont="1" applyFill="1" applyBorder="1" applyAlignment="1">
      <alignment vertical="center"/>
    </xf>
    <xf numFmtId="0" fontId="25" fillId="2" borderId="0" xfId="0" applyFont="1" applyFill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2" borderId="23" xfId="0" applyFill="1" applyBorder="1" applyAlignment="1">
      <alignment vertical="center"/>
    </xf>
    <xf numFmtId="0" fontId="0" fillId="11" borderId="0" xfId="0" applyFill="1" applyAlignment="1">
      <alignment vertical="center"/>
    </xf>
    <xf numFmtId="179" fontId="10" fillId="4" borderId="36" xfId="0" applyNumberFormat="1" applyFont="1" applyFill="1" applyBorder="1" applyAlignment="1">
      <alignment vertical="center"/>
    </xf>
    <xf numFmtId="14" fontId="0" fillId="0" borderId="37" xfId="0" applyNumberFormat="1" applyBorder="1" applyAlignment="1">
      <alignment vertical="center"/>
    </xf>
    <xf numFmtId="2" fontId="3" fillId="0" borderId="38" xfId="0" applyNumberFormat="1" applyFont="1" applyBorder="1" applyAlignment="1">
      <alignment vertical="center"/>
    </xf>
    <xf numFmtId="2" fontId="3" fillId="0" borderId="1" xfId="0" applyNumberFormat="1" applyFont="1" applyBorder="1" applyAlignment="1">
      <alignment vertical="center"/>
    </xf>
    <xf numFmtId="14" fontId="10" fillId="10" borderId="33" xfId="0" applyNumberFormat="1" applyFont="1" applyFill="1" applyBorder="1" applyAlignment="1">
      <alignment vertical="center"/>
    </xf>
    <xf numFmtId="178" fontId="10" fillId="12" borderId="29" xfId="0" applyNumberFormat="1" applyFont="1" applyFill="1" applyBorder="1" applyAlignment="1">
      <alignment vertical="center"/>
    </xf>
    <xf numFmtId="0" fontId="0" fillId="10" borderId="2" xfId="0" applyFill="1" applyBorder="1" applyAlignment="1">
      <alignment vertical="center"/>
    </xf>
    <xf numFmtId="0" fontId="0" fillId="12" borderId="19" xfId="0" applyFill="1" applyBorder="1" applyAlignment="1">
      <alignment vertical="center"/>
    </xf>
    <xf numFmtId="2" fontId="1" fillId="12" borderId="19" xfId="0" applyNumberFormat="1" applyFont="1" applyFill="1" applyBorder="1" applyAlignment="1">
      <alignment vertical="center"/>
    </xf>
    <xf numFmtId="0" fontId="0" fillId="10" borderId="23" xfId="0" applyFill="1" applyBorder="1" applyAlignment="1">
      <alignment vertical="center"/>
    </xf>
    <xf numFmtId="0" fontId="26" fillId="0" borderId="0" xfId="0" applyFont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79" fontId="10" fillId="15" borderId="7" xfId="0" applyNumberFormat="1" applyFont="1" applyFill="1" applyBorder="1" applyAlignment="1">
      <alignment vertical="center"/>
    </xf>
    <xf numFmtId="14" fontId="0" fillId="16" borderId="26" xfId="0" applyNumberFormat="1" applyFill="1" applyBorder="1" applyAlignment="1">
      <alignment vertical="center"/>
    </xf>
    <xf numFmtId="2" fontId="3" fillId="16" borderId="1" xfId="0" applyNumberFormat="1" applyFont="1" applyFill="1" applyBorder="1" applyAlignment="1">
      <alignment vertical="center"/>
    </xf>
    <xf numFmtId="179" fontId="10" fillId="15" borderId="17" xfId="0" applyNumberFormat="1" applyFont="1" applyFill="1" applyBorder="1" applyAlignment="1">
      <alignment vertical="center"/>
    </xf>
    <xf numFmtId="14" fontId="0" fillId="16" borderId="37" xfId="0" applyNumberFormat="1" applyFill="1" applyBorder="1" applyAlignment="1">
      <alignment vertical="center"/>
    </xf>
    <xf numFmtId="2" fontId="3" fillId="16" borderId="38" xfId="0" applyNumberFormat="1" applyFont="1" applyFill="1" applyBorder="1" applyAlignment="1">
      <alignment vertical="center"/>
    </xf>
    <xf numFmtId="2" fontId="0" fillId="16" borderId="27" xfId="0" applyNumberFormat="1" applyFill="1" applyBorder="1" applyAlignment="1">
      <alignment vertical="center"/>
    </xf>
    <xf numFmtId="0" fontId="0" fillId="16" borderId="27" xfId="0" applyFill="1" applyBorder="1" applyAlignment="1">
      <alignment vertical="center"/>
    </xf>
    <xf numFmtId="179" fontId="10" fillId="15" borderId="29" xfId="0" applyNumberFormat="1" applyFont="1" applyFill="1" applyBorder="1" applyAlignment="1">
      <alignment vertical="center"/>
    </xf>
    <xf numFmtId="14" fontId="0" fillId="16" borderId="30" xfId="0" applyNumberFormat="1" applyFill="1" applyBorder="1" applyAlignment="1">
      <alignment vertical="center"/>
    </xf>
    <xf numFmtId="0" fontId="0" fillId="16" borderId="31" xfId="0" applyFill="1" applyBorder="1" applyAlignment="1">
      <alignment vertical="center"/>
    </xf>
    <xf numFmtId="14" fontId="10" fillId="17" borderId="33" xfId="0" applyNumberFormat="1" applyFont="1" applyFill="1" applyBorder="1" applyAlignment="1">
      <alignment vertical="center"/>
    </xf>
    <xf numFmtId="178" fontId="10" fillId="18" borderId="29" xfId="0" applyNumberFormat="1" applyFont="1" applyFill="1" applyBorder="1" applyAlignment="1">
      <alignment vertical="center"/>
    </xf>
    <xf numFmtId="0" fontId="0" fillId="17" borderId="2" xfId="0" applyFill="1" applyBorder="1" applyAlignment="1">
      <alignment vertical="center"/>
    </xf>
    <xf numFmtId="0" fontId="0" fillId="18" borderId="19" xfId="0" applyFill="1" applyBorder="1" applyAlignment="1">
      <alignment vertical="center"/>
    </xf>
    <xf numFmtId="2" fontId="1" fillId="18" borderId="19" xfId="0" applyNumberFormat="1" applyFont="1" applyFill="1" applyBorder="1" applyAlignment="1">
      <alignment vertical="center"/>
    </xf>
    <xf numFmtId="0" fontId="0" fillId="17" borderId="23" xfId="0" applyFill="1" applyBorder="1" applyAlignment="1">
      <alignment vertical="center"/>
    </xf>
    <xf numFmtId="182" fontId="13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0" fontId="7" fillId="8" borderId="3" xfId="0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 wrapText="1"/>
    </xf>
    <xf numFmtId="0" fontId="7" fillId="8" borderId="20" xfId="0" applyFont="1" applyFill="1" applyBorder="1" applyAlignment="1">
      <alignment horizontal="center" vertical="center" wrapText="1"/>
    </xf>
    <xf numFmtId="0" fontId="7" fillId="8" borderId="14" xfId="0" applyFont="1" applyFill="1" applyBorder="1" applyAlignment="1">
      <alignment horizontal="center" vertical="center" wrapText="1"/>
    </xf>
    <xf numFmtId="0" fontId="7" fillId="8" borderId="35" xfId="0" applyFont="1" applyFill="1" applyBorder="1" applyAlignment="1">
      <alignment horizontal="center" vertical="center" wrapText="1"/>
    </xf>
    <xf numFmtId="0" fontId="7" fillId="8" borderId="23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7" fillId="4" borderId="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2" fontId="0" fillId="0" borderId="0" xfId="0" applyNumberFormat="1" applyAlignment="1">
      <alignment vertical="center"/>
    </xf>
  </cellXfs>
  <cellStyles count="1">
    <cellStyle name="표준" xfId="0" builtinId="0"/>
  </cellStyles>
  <dxfs count="9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F2BFB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D7E4BD"/>
      <rgbColor rgb="FFFFFF99"/>
      <rgbColor rgb="FF99CCFF"/>
      <rgbColor rgb="FFFFC7CE"/>
      <rgbColor rgb="FFCC99F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28</xdr:row>
      <xdr:rowOff>28575</xdr:rowOff>
    </xdr:from>
    <xdr:to>
      <xdr:col>3</xdr:col>
      <xdr:colOff>352425</xdr:colOff>
      <xdr:row>29</xdr:row>
      <xdr:rowOff>0</xdr:rowOff>
    </xdr:to>
    <xdr:sp macro="[0]!ResetInputs" textlink="">
      <xdr:nvSpPr>
        <xdr:cNvPr id="2" name="ResetButton"/>
        <xdr:cNvSpPr/>
      </xdr:nvSpPr>
      <xdr:spPr>
        <a:xfrm>
          <a:off x="1600200" y="5610225"/>
          <a:ext cx="676275" cy="228600"/>
        </a:xfrm>
        <a:prstGeom prst="roundRect">
          <a:avLst/>
        </a:prstGeom>
        <a:solidFill>
          <a:srgbClr val="5B9BD5"/>
        </a:solidFill>
        <a:ln w="1270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맑은 고딕"/>
            </a:rPr>
            <a:t>리셋</a:t>
          </a:r>
          <a:endParaRPr lang="en-US" sz="1100" b="1" strike="noStrike" spc="-1">
            <a:solidFill>
              <a:schemeClr val="bg1"/>
            </a:solidFill>
            <a:latin typeface="맑은 고딕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28</xdr:row>
      <xdr:rowOff>28575</xdr:rowOff>
    </xdr:from>
    <xdr:to>
      <xdr:col>3</xdr:col>
      <xdr:colOff>352425</xdr:colOff>
      <xdr:row>29</xdr:row>
      <xdr:rowOff>0</xdr:rowOff>
    </xdr:to>
    <xdr:sp macro="[0]!ResetInputs" textlink="">
      <xdr:nvSpPr>
        <xdr:cNvPr id="2" name="ResetButton"/>
        <xdr:cNvSpPr/>
      </xdr:nvSpPr>
      <xdr:spPr>
        <a:xfrm>
          <a:off x="1600200" y="5610225"/>
          <a:ext cx="676275" cy="228600"/>
        </a:xfrm>
        <a:prstGeom prst="roundRect">
          <a:avLst/>
        </a:prstGeom>
        <a:solidFill>
          <a:srgbClr val="5B9BD5"/>
        </a:solidFill>
        <a:ln w="1270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맑은 고딕"/>
            </a:rPr>
            <a:t>리셋</a:t>
          </a:r>
          <a:endParaRPr lang="en-US" sz="1100" b="1" strike="noStrike" spc="-1">
            <a:solidFill>
              <a:schemeClr val="bg1"/>
            </a:solidFill>
            <a:latin typeface="맑은 고딕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28</xdr:row>
      <xdr:rowOff>28575</xdr:rowOff>
    </xdr:from>
    <xdr:to>
      <xdr:col>3</xdr:col>
      <xdr:colOff>352425</xdr:colOff>
      <xdr:row>29</xdr:row>
      <xdr:rowOff>0</xdr:rowOff>
    </xdr:to>
    <xdr:sp macro="[0]!ResetInputs" textlink="">
      <xdr:nvSpPr>
        <xdr:cNvPr id="2" name="ResetButton"/>
        <xdr:cNvSpPr/>
      </xdr:nvSpPr>
      <xdr:spPr>
        <a:xfrm>
          <a:off x="1600200" y="5610225"/>
          <a:ext cx="676275" cy="228600"/>
        </a:xfrm>
        <a:prstGeom prst="roundRect">
          <a:avLst/>
        </a:prstGeom>
        <a:solidFill>
          <a:srgbClr val="5B9BD5"/>
        </a:solidFill>
        <a:ln w="1270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맑은 고딕"/>
            </a:rPr>
            <a:t>리셋</a:t>
          </a:r>
          <a:endParaRPr lang="en-US" sz="1100" b="1" strike="noStrike" spc="-1">
            <a:solidFill>
              <a:schemeClr val="bg1"/>
            </a:solidFill>
            <a:latin typeface="맑은 고딕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R46"/>
  <sheetViews>
    <sheetView zoomScaleNormal="100" workbookViewId="0">
      <selection activeCell="A18" sqref="A18"/>
    </sheetView>
  </sheetViews>
  <sheetFormatPr defaultColWidth="8.5" defaultRowHeight="16.5"/>
  <cols>
    <col min="1" max="1" width="18.625" style="1" customWidth="1"/>
    <col min="2" max="2" width="8.625" style="1" customWidth="1"/>
    <col min="3" max="3" width="7.5" style="1" customWidth="1"/>
    <col min="4" max="4" width="11.875" style="1" customWidth="1"/>
    <col min="5" max="5" width="5.625" style="1" customWidth="1"/>
    <col min="6" max="6" width="12.625" style="1" customWidth="1"/>
    <col min="7" max="7" width="10.375" style="1" customWidth="1"/>
    <col min="8" max="8" width="12.625" style="1" customWidth="1"/>
    <col min="9" max="9" width="12.25" style="1" customWidth="1"/>
    <col min="10" max="10" width="10.375" style="1" customWidth="1"/>
    <col min="11" max="11" width="12" style="1" customWidth="1"/>
    <col min="12" max="12" width="11.125" style="1" customWidth="1"/>
    <col min="13" max="13" width="9.875" style="1" customWidth="1"/>
    <col min="14" max="14" width="9" customWidth="1"/>
  </cols>
  <sheetData>
    <row r="1" spans="1:18" ht="16.5" customHeight="1">
      <c r="A1" s="2" t="s">
        <v>0</v>
      </c>
      <c r="B1" s="3"/>
      <c r="C1" s="125"/>
      <c r="D1" s="125"/>
      <c r="E1" s="125"/>
      <c r="F1" s="125"/>
      <c r="G1" s="125"/>
      <c r="H1" s="125"/>
      <c r="I1" s="125"/>
      <c r="J1" s="125"/>
      <c r="K1" s="125"/>
      <c r="L1" s="3"/>
      <c r="M1" s="3"/>
      <c r="N1" s="3"/>
      <c r="O1" s="3"/>
      <c r="P1" s="3"/>
      <c r="Q1" s="3"/>
      <c r="R1" s="3"/>
    </row>
    <row r="2" spans="1:18" ht="17.25" customHeight="1" thickBot="1">
      <c r="A2" s="4" t="s">
        <v>1</v>
      </c>
      <c r="B2" s="5" t="s">
        <v>2</v>
      </c>
      <c r="C2" s="126"/>
      <c r="D2" s="126"/>
      <c r="E2" s="126"/>
      <c r="F2" s="126"/>
      <c r="G2" s="126"/>
      <c r="H2" s="126"/>
      <c r="I2" s="126"/>
      <c r="J2" s="126"/>
      <c r="K2" s="126"/>
      <c r="L2" s="6"/>
      <c r="M2" s="6"/>
      <c r="N2" s="3"/>
      <c r="O2" s="3"/>
      <c r="P2" s="3"/>
      <c r="Q2" s="3"/>
      <c r="R2" s="3"/>
    </row>
    <row r="3" spans="1:18" ht="17.25" customHeight="1" thickBot="1">
      <c r="A3" s="3" t="s">
        <v>3</v>
      </c>
      <c r="B3" s="7">
        <v>1337.5</v>
      </c>
      <c r="C3" s="8"/>
      <c r="D3" s="127" t="s">
        <v>4</v>
      </c>
      <c r="E3" s="127"/>
      <c r="F3" s="9" t="s">
        <v>5</v>
      </c>
      <c r="G3" s="10" t="s">
        <v>6</v>
      </c>
      <c r="H3" s="11" t="s">
        <v>7</v>
      </c>
      <c r="I3" s="76" t="s">
        <v>83</v>
      </c>
      <c r="J3" s="12" t="s">
        <v>8</v>
      </c>
      <c r="K3" s="13" t="s">
        <v>9</v>
      </c>
      <c r="L3" s="6"/>
      <c r="M3" s="6"/>
      <c r="N3" s="3"/>
      <c r="O3" s="3"/>
      <c r="P3" s="3"/>
      <c r="Q3" s="3"/>
      <c r="R3" s="3"/>
    </row>
    <row r="4" spans="1:18" ht="16.5" customHeight="1" thickBot="1">
      <c r="A4" s="4" t="s">
        <v>10</v>
      </c>
      <c r="B4" s="14">
        <v>1.1632400000000001</v>
      </c>
      <c r="C4" s="128" t="s">
        <v>11</v>
      </c>
      <c r="D4" s="66">
        <v>46308</v>
      </c>
      <c r="E4" s="15" t="s">
        <v>12</v>
      </c>
      <c r="F4" s="16">
        <v>-35</v>
      </c>
      <c r="G4" s="16"/>
      <c r="H4" s="17">
        <f t="shared" ref="H4:H15" si="0">IF(F4="","",F4+G4)</f>
        <v>-35</v>
      </c>
      <c r="I4" s="16"/>
      <c r="J4" s="18" t="str">
        <f t="shared" ref="J4:J15" si="1">IF($F4="","",IF($B$2="","",IF($B$2="USD/KRW",H4,IF(OR($B$3="",$B$4="",$I4=""),"",IF($B$6="곱셈",ROUNDDOWN(($B$3+H4/100)*($B$4+$I4/$B$7),$B$8)-ROUNDDOWN($B$3*$B$4,$B$8),ROUNDDOWN(($B$3+H4/100)/($B$4+$I4/$B$7),$B$8)-ROUNDDOWN($B$3/$B$4,$B$8))*$B$9))))</f>
        <v/>
      </c>
      <c r="K4" s="19" t="str">
        <f t="shared" ref="K4:K15" ca="1" si="2">IF(OR(J4="",$B$10="",D4=""),"",IF(ABS(J4-($B$10/100)*IF($B$2="USD/KRW",$B$3*100,IF($B$6="곱셈",$B$3*$B$4,$B$3/$B$4)*$B$9)*(YEARFRAC(TODAY(),D4,1)))&gt;MAX(ABS(($B$10/100)*IF($B$2="USD/KRW",$B$3*100,IF($B$6="곱셈",$B$3*$B$4,$B$3/$B$4)*$B$9)*(YEARFRAC(TODAY(),D4,1)))*0.5,IF($B$2="USD/KRW",30,2)),"⚠ 입력확인(이론가 "&amp;ROUND(($B$10/100)*IF($B$2="USD/KRW",$B$3*100,IF($B$6="곱셈",$B$3*$B$4,$B$3/$B$4)*$B$9)*(YEARFRAC(TODAY(),D4,1)),1)&amp;")",""))</f>
        <v/>
      </c>
      <c r="L4" s="6"/>
      <c r="M4" s="6"/>
      <c r="N4" s="3"/>
      <c r="O4" s="3"/>
      <c r="P4" s="3"/>
      <c r="Q4" s="3"/>
      <c r="R4" s="3"/>
    </row>
    <row r="5" spans="1:18" ht="17.25" customHeight="1" thickBot="1">
      <c r="A5" s="75" t="s">
        <v>82</v>
      </c>
      <c r="B5" s="74">
        <f>IF(OR($B$2="",$B$3=""),"",IF($B$2="USD/KRW",$B$3,IF($B$4="","",ROUNDDOWN(IF($B$6="곱셈",$B$3*$B$4,$B$3/$B$4),$B$8)*$B$9/IF($B$2="JPY/KRW",100,1))))</f>
        <v>1555.83</v>
      </c>
      <c r="C5" s="128"/>
      <c r="D5" s="66">
        <v>46338</v>
      </c>
      <c r="E5" s="21" t="s">
        <v>14</v>
      </c>
      <c r="F5" s="16">
        <v>-85</v>
      </c>
      <c r="G5" s="16"/>
      <c r="H5" s="17">
        <f t="shared" si="0"/>
        <v>-85</v>
      </c>
      <c r="I5" s="16"/>
      <c r="J5" s="18" t="str">
        <f t="shared" si="1"/>
        <v/>
      </c>
      <c r="K5" s="19" t="str">
        <f t="shared" ca="1" si="2"/>
        <v/>
      </c>
      <c r="L5" s="6"/>
      <c r="M5" s="6"/>
      <c r="N5" s="3"/>
      <c r="O5" s="3"/>
      <c r="P5" s="3"/>
      <c r="Q5" s="3"/>
      <c r="R5" s="3"/>
    </row>
    <row r="6" spans="1:18" ht="17.25" customHeight="1" thickBot="1">
      <c r="A6" s="20" t="s">
        <v>13</v>
      </c>
      <c r="B6" s="20" t="str">
        <f>IFERROR(INDEX(통화설정!$B$2:$B$13,MATCH($B$2,통화설정!$A$2:$A$13,0)),"")</f>
        <v>곱셈</v>
      </c>
      <c r="C6" s="128"/>
      <c r="D6" s="66">
        <v>46367</v>
      </c>
      <c r="E6" s="21" t="s">
        <v>16</v>
      </c>
      <c r="F6" s="16">
        <v>-150</v>
      </c>
      <c r="G6" s="16"/>
      <c r="H6" s="17">
        <f t="shared" si="0"/>
        <v>-150</v>
      </c>
      <c r="I6" s="16"/>
      <c r="J6" s="18" t="str">
        <f t="shared" si="1"/>
        <v/>
      </c>
      <c r="K6" s="19" t="str">
        <f t="shared" ca="1" si="2"/>
        <v/>
      </c>
      <c r="L6" s="6"/>
      <c r="M6" s="6"/>
      <c r="N6" s="3"/>
      <c r="O6" s="3"/>
      <c r="P6" s="3"/>
      <c r="Q6" s="3"/>
      <c r="R6" s="3"/>
    </row>
    <row r="7" spans="1:18" ht="17.25" customHeight="1" thickBot="1">
      <c r="A7" s="20" t="s">
        <v>15</v>
      </c>
      <c r="B7" s="20">
        <f>IFERROR(INDEX(통화설정!$C$2:$C$13,MATCH($B$2,통화설정!$A$2:$A$13,0)),"")</f>
        <v>10000</v>
      </c>
      <c r="C7" s="128"/>
      <c r="D7" s="66">
        <v>46398</v>
      </c>
      <c r="E7" s="21" t="s">
        <v>18</v>
      </c>
      <c r="F7" s="16">
        <v>-240</v>
      </c>
      <c r="G7" s="16"/>
      <c r="H7" s="17">
        <f t="shared" si="0"/>
        <v>-240</v>
      </c>
      <c r="I7" s="16"/>
      <c r="J7" s="18" t="str">
        <f t="shared" si="1"/>
        <v/>
      </c>
      <c r="K7" s="19" t="str">
        <f t="shared" ca="1" si="2"/>
        <v/>
      </c>
      <c r="L7" s="6"/>
      <c r="M7" s="6"/>
      <c r="N7" s="3"/>
      <c r="O7" s="3"/>
      <c r="P7" s="3"/>
      <c r="Q7" s="3"/>
      <c r="R7" s="3"/>
    </row>
    <row r="8" spans="1:18" ht="17.25" customHeight="1" thickBot="1">
      <c r="A8" s="20" t="s">
        <v>17</v>
      </c>
      <c r="B8" s="20">
        <f>IFERROR(INDEX(통화설정!$D$2:$D$13,MATCH($B$2,통화설정!$A$2:$A$13,0)),"")</f>
        <v>2</v>
      </c>
      <c r="C8" s="128"/>
      <c r="D8" s="66">
        <v>46429</v>
      </c>
      <c r="E8" s="21" t="s">
        <v>20</v>
      </c>
      <c r="F8" s="16">
        <v>-329</v>
      </c>
      <c r="G8" s="16"/>
      <c r="H8" s="17">
        <f t="shared" si="0"/>
        <v>-329</v>
      </c>
      <c r="I8" s="16"/>
      <c r="J8" s="18" t="str">
        <f t="shared" si="1"/>
        <v/>
      </c>
      <c r="K8" s="19" t="str">
        <f t="shared" ca="1" si="2"/>
        <v/>
      </c>
      <c r="L8" s="6"/>
      <c r="M8" s="6"/>
      <c r="N8" s="3"/>
      <c r="O8" s="3"/>
      <c r="P8" s="3"/>
      <c r="Q8" s="3"/>
      <c r="R8" s="3"/>
    </row>
    <row r="9" spans="1:18" ht="17.25" customHeight="1" thickBot="1">
      <c r="A9" s="20" t="s">
        <v>19</v>
      </c>
      <c r="B9" s="20">
        <f>IFERROR(INDEX(통화설정!$E$2:$E$13,MATCH($B$2,통화설정!$A$2:$A$13,0)),"")</f>
        <v>1</v>
      </c>
      <c r="C9" s="128"/>
      <c r="D9" s="66">
        <v>46457</v>
      </c>
      <c r="E9" s="21" t="s">
        <v>22</v>
      </c>
      <c r="F9" s="16">
        <v>-410</v>
      </c>
      <c r="G9" s="16"/>
      <c r="H9" s="17">
        <f t="shared" si="0"/>
        <v>-410</v>
      </c>
      <c r="I9" s="16"/>
      <c r="J9" s="18" t="str">
        <f t="shared" si="1"/>
        <v/>
      </c>
      <c r="K9" s="19" t="str">
        <f t="shared" ca="1" si="2"/>
        <v/>
      </c>
      <c r="L9" s="6"/>
      <c r="M9" s="6"/>
      <c r="N9" s="3"/>
      <c r="O9" s="3"/>
      <c r="P9" s="3"/>
      <c r="Q9" s="3"/>
      <c r="R9" s="3"/>
    </row>
    <row r="10" spans="1:18" ht="17.25" customHeight="1" thickBot="1">
      <c r="A10" s="22" t="s">
        <v>21</v>
      </c>
      <c r="B10" s="23">
        <f>IFERROR(통화설정!$H$2-INDEX(통화설정!$G$2:$G$13,MATCH($B$2,통화설정!$A$2:$A$13,0)),"")</f>
        <v>0.75</v>
      </c>
      <c r="C10" s="128"/>
      <c r="D10" s="66">
        <v>46489</v>
      </c>
      <c r="E10" s="21" t="s">
        <v>24</v>
      </c>
      <c r="F10" s="16">
        <v>-504</v>
      </c>
      <c r="G10" s="16"/>
      <c r="H10" s="17">
        <f t="shared" si="0"/>
        <v>-504</v>
      </c>
      <c r="I10" s="16"/>
      <c r="J10" s="18" t="str">
        <f t="shared" si="1"/>
        <v/>
      </c>
      <c r="K10" s="19" t="str">
        <f t="shared" ca="1" si="2"/>
        <v/>
      </c>
      <c r="L10" s="3"/>
      <c r="M10" s="3"/>
      <c r="N10" s="3"/>
      <c r="O10" s="3"/>
      <c r="P10" s="3"/>
      <c r="Q10" s="3"/>
      <c r="R10" s="3"/>
    </row>
    <row r="11" spans="1:18" ht="17.25" customHeight="1" thickBot="1">
      <c r="A11" s="24" t="s">
        <v>23</v>
      </c>
      <c r="B11" s="25" t="s">
        <v>98</v>
      </c>
      <c r="C11" s="128"/>
      <c r="D11" s="66">
        <v>46518</v>
      </c>
      <c r="E11" s="21" t="s">
        <v>26</v>
      </c>
      <c r="F11" s="16">
        <v>-589</v>
      </c>
      <c r="G11" s="16"/>
      <c r="H11" s="17">
        <f t="shared" si="0"/>
        <v>-589</v>
      </c>
      <c r="I11" s="16"/>
      <c r="J11" s="18" t="str">
        <f t="shared" si="1"/>
        <v/>
      </c>
      <c r="K11" s="19" t="str">
        <f t="shared" ca="1" si="2"/>
        <v/>
      </c>
      <c r="L11" s="26"/>
      <c r="M11" s="3"/>
      <c r="N11" s="3"/>
      <c r="O11" s="3"/>
      <c r="P11" s="3"/>
      <c r="Q11" s="3"/>
      <c r="R11" s="3"/>
    </row>
    <row r="12" spans="1:18" ht="17.25" customHeight="1" thickBot="1">
      <c r="A12" s="24" t="s">
        <v>25</v>
      </c>
      <c r="B12" s="25">
        <v>6</v>
      </c>
      <c r="C12" s="128"/>
      <c r="D12" s="66">
        <v>46549</v>
      </c>
      <c r="E12" s="21" t="s">
        <v>28</v>
      </c>
      <c r="F12" s="16">
        <v>-680</v>
      </c>
      <c r="G12" s="16"/>
      <c r="H12" s="17">
        <f t="shared" si="0"/>
        <v>-680</v>
      </c>
      <c r="I12" s="16"/>
      <c r="J12" s="18" t="str">
        <f t="shared" si="1"/>
        <v/>
      </c>
      <c r="K12" s="19" t="str">
        <f t="shared" ca="1" si="2"/>
        <v/>
      </c>
      <c r="L12" s="27"/>
      <c r="M12" s="3"/>
      <c r="N12" s="3"/>
      <c r="O12" s="3"/>
      <c r="P12" s="3"/>
      <c r="Q12" s="3"/>
      <c r="R12" s="3"/>
    </row>
    <row r="13" spans="1:18" ht="17.25" customHeight="1" thickBot="1">
      <c r="A13" s="24" t="s">
        <v>27</v>
      </c>
      <c r="B13" s="117" t="s">
        <v>96</v>
      </c>
      <c r="C13" s="128"/>
      <c r="D13" s="66">
        <v>46580</v>
      </c>
      <c r="E13" s="21" t="s">
        <v>30</v>
      </c>
      <c r="F13" s="16">
        <v>-753</v>
      </c>
      <c r="G13" s="16"/>
      <c r="H13" s="17">
        <f t="shared" si="0"/>
        <v>-753</v>
      </c>
      <c r="I13" s="16"/>
      <c r="J13" s="18" t="str">
        <f t="shared" si="1"/>
        <v/>
      </c>
      <c r="K13" s="19" t="str">
        <f t="shared" ca="1" si="2"/>
        <v/>
      </c>
      <c r="L13" s="27"/>
      <c r="M13" s="3"/>
      <c r="N13" s="3"/>
      <c r="O13" s="3"/>
      <c r="P13" s="3"/>
      <c r="Q13" s="3"/>
      <c r="R13" s="3"/>
    </row>
    <row r="14" spans="1:18" ht="17.25" customHeight="1" thickBot="1">
      <c r="A14" s="24" t="s">
        <v>29</v>
      </c>
      <c r="B14" s="25">
        <v>7</v>
      </c>
      <c r="C14" s="128"/>
      <c r="D14" s="67">
        <v>46610</v>
      </c>
      <c r="E14" s="28" t="s">
        <v>32</v>
      </c>
      <c r="F14" s="16">
        <v>-823</v>
      </c>
      <c r="G14" s="16"/>
      <c r="H14" s="17">
        <f t="shared" si="0"/>
        <v>-823</v>
      </c>
      <c r="I14" s="16"/>
      <c r="J14" s="18" t="str">
        <f t="shared" si="1"/>
        <v/>
      </c>
      <c r="K14" s="19" t="str">
        <f t="shared" ca="1" si="2"/>
        <v/>
      </c>
      <c r="L14" s="27"/>
      <c r="M14" s="3"/>
      <c r="N14" s="3"/>
      <c r="O14" s="3"/>
      <c r="P14" s="3"/>
      <c r="Q14" s="3"/>
      <c r="R14" s="3"/>
    </row>
    <row r="15" spans="1:18" ht="17.25" customHeight="1" thickBot="1">
      <c r="A15" s="24" t="s">
        <v>31</v>
      </c>
      <c r="B15" s="25" t="s">
        <v>99</v>
      </c>
      <c r="C15" s="128"/>
      <c r="D15" s="68">
        <v>46643</v>
      </c>
      <c r="E15" s="29" t="s">
        <v>34</v>
      </c>
      <c r="F15" s="16">
        <v>-900</v>
      </c>
      <c r="G15" s="16"/>
      <c r="H15" s="30">
        <f t="shared" si="0"/>
        <v>-900</v>
      </c>
      <c r="I15" s="16"/>
      <c r="J15" s="31" t="str">
        <f t="shared" si="1"/>
        <v/>
      </c>
      <c r="K15" s="19" t="str">
        <f t="shared" ca="1" si="2"/>
        <v/>
      </c>
      <c r="L15" s="27"/>
      <c r="M15" s="3"/>
      <c r="N15" s="3"/>
      <c r="O15" s="3"/>
      <c r="P15" s="3"/>
      <c r="Q15" s="3"/>
      <c r="R15" s="3"/>
    </row>
    <row r="16" spans="1:18" ht="17.25" customHeight="1" thickBot="1">
      <c r="A16" s="24" t="s">
        <v>33</v>
      </c>
      <c r="B16" s="25">
        <v>5</v>
      </c>
      <c r="C16" s="32"/>
      <c r="D16" s="3"/>
      <c r="E16" s="3"/>
      <c r="F16" s="3"/>
      <c r="G16" s="3"/>
      <c r="H16" s="3"/>
      <c r="I16" s="3"/>
      <c r="J16" s="33"/>
      <c r="K16" s="34"/>
      <c r="L16" s="3"/>
      <c r="M16" s="3"/>
      <c r="N16" s="3"/>
      <c r="O16" s="3"/>
      <c r="P16" s="3"/>
      <c r="Q16" s="3"/>
      <c r="R16" s="3"/>
    </row>
    <row r="17" spans="1:18" ht="16.5" customHeight="1" thickBot="1">
      <c r="A17" s="118" t="s">
        <v>97</v>
      </c>
      <c r="B17" s="25">
        <v>15</v>
      </c>
      <c r="C17" s="129" t="s">
        <v>36</v>
      </c>
      <c r="D17" s="66">
        <v>46302</v>
      </c>
      <c r="E17" s="42" t="str">
        <f t="shared" ref="E17:E27" ca="1" si="3">IF(D17="","",ROUND(YEARFRAC(TODAY(),D17,1)*12,0)&amp;"M")</f>
        <v>1M</v>
      </c>
      <c r="F17" s="16">
        <v>-25</v>
      </c>
      <c r="G17" s="16">
        <v>-10</v>
      </c>
      <c r="H17" s="36">
        <f>IF(F17="","",F17+G17)</f>
        <v>-35</v>
      </c>
      <c r="I17" s="16">
        <v>11.885</v>
      </c>
      <c r="J17" s="37">
        <f>IF($F17="","",IF($B$2="","",IF($B$2="USD/KRW",H17,IF(OR($B$3="",$B$4="",$I17=""),"",IF($B$6="곱셈",ROUNDDOWN(($B$3+H17/100)*($B$4+$I17/$B$7),$B$8)-ROUNDDOWN($B$3*$B$4,$B$8),ROUNDDOWN(($B$3+H17/100)/($B$4+$I17/$B$7),$B$8)-ROUNDDOWN($B$3/$B$4,$B$8))*$B$9))))</f>
        <v>1.1800000000000637</v>
      </c>
      <c r="K17" s="19" t="str">
        <f t="shared" ref="K17:K27" ca="1" si="4">IF(OR(J17="",$B$10="",D17=""),"",IF(ABS(J17-($B$10/100)*IF($B$2="USD/KRW",$B$3*100,IF($B$6="곱셈",$B$3*$B$4,$B$3/$B$4)*$B$9)*(YEARFRAC(TODAY(),D17,1)))&gt;MAX(ABS(($B$10/100)*IF($B$2="USD/KRW",$B$3*100,IF($B$6="곱셈",$B$3*$B$4,$B$3/$B$4)*$B$9)*(YEARFRAC(TODAY(),D17,1)))*0.5,IF($B$2="USD/KRW",30,2)),"⚠ 입력확인(이론가 "&amp;ROUND(($B$10/100)*IF($B$2="USD/KRW",$B$3*100,IF($B$6="곱셈",$B$3*$B$4,$B$3/$B$4)*$B$9)*(YEARFRAC(TODAY(),D17,1)),1)&amp;")",""))</f>
        <v/>
      </c>
      <c r="L17" s="3"/>
      <c r="M17" s="3"/>
      <c r="N17" s="3"/>
      <c r="O17" s="3"/>
      <c r="P17" s="3"/>
      <c r="Q17" s="3"/>
      <c r="R17" s="3"/>
    </row>
    <row r="18" spans="1:18" ht="17.25" customHeight="1" thickBot="1">
      <c r="A18" s="35" t="s">
        <v>86</v>
      </c>
      <c r="B18" s="25"/>
      <c r="C18" s="129"/>
      <c r="D18" s="66"/>
      <c r="E18" s="46" t="str">
        <f t="shared" ca="1" si="3"/>
        <v/>
      </c>
      <c r="F18" s="16"/>
      <c r="G18" s="16"/>
      <c r="H18" s="17" t="str">
        <f t="shared" ref="H18:H27" si="5">IF(F18="","",F18+G18)</f>
        <v/>
      </c>
      <c r="I18" s="16"/>
      <c r="J18" s="18" t="str">
        <f t="shared" ref="J18:J27" si="6">IF($F18="","",IF($B$2="","",IF($B$2="USD/KRW",H18,IF(OR($B$3="",$B$4="",$I18=""),"",IF($B$6="곱셈",ROUNDDOWN(($B$3+H18/100)*($B$4+$I18/$B$7),$B$8)-ROUNDDOWN($B$3*$B$4,$B$8),ROUNDDOWN(($B$3+H18/100)/($B$4+$I18/$B$7),$B$8)-ROUNDDOWN($B$3/$B$4,$B$8))*$B$9))))</f>
        <v/>
      </c>
      <c r="K18" s="19" t="str">
        <f t="shared" ca="1" si="4"/>
        <v/>
      </c>
      <c r="L18" s="3">
        <v>11.2</v>
      </c>
      <c r="M18" s="3"/>
      <c r="N18" s="3"/>
      <c r="O18" s="3"/>
      <c r="P18" s="3"/>
      <c r="Q18" s="3"/>
      <c r="R18" s="3"/>
    </row>
    <row r="19" spans="1:18" ht="17.25" customHeight="1" thickBot="1">
      <c r="A19" s="24" t="s">
        <v>37</v>
      </c>
      <c r="B19" s="25">
        <v>7</v>
      </c>
      <c r="C19" s="129"/>
      <c r="D19" s="66"/>
      <c r="E19" s="46" t="str">
        <f t="shared" ca="1" si="3"/>
        <v/>
      </c>
      <c r="F19" s="16"/>
      <c r="G19" s="16"/>
      <c r="H19" s="17" t="str">
        <f t="shared" si="5"/>
        <v/>
      </c>
      <c r="I19" s="16"/>
      <c r="J19" s="18" t="str">
        <f t="shared" si="6"/>
        <v/>
      </c>
      <c r="K19" s="19" t="str">
        <f t="shared" ca="1" si="4"/>
        <v/>
      </c>
      <c r="L19" s="3"/>
      <c r="M19" s="3"/>
      <c r="N19" s="3"/>
      <c r="O19" s="3"/>
      <c r="P19" s="3"/>
      <c r="Q19" s="3"/>
      <c r="R19" s="3"/>
    </row>
    <row r="20" spans="1:18" ht="17.25" customHeight="1" thickBot="1">
      <c r="A20" s="24" t="s">
        <v>38</v>
      </c>
      <c r="B20" s="25">
        <v>8</v>
      </c>
      <c r="C20" s="129"/>
      <c r="D20" s="66"/>
      <c r="E20" s="46" t="str">
        <f t="shared" ca="1" si="3"/>
        <v/>
      </c>
      <c r="F20" s="16"/>
      <c r="G20" s="16"/>
      <c r="H20" s="17" t="str">
        <f>IF(F20="","",F20+G20)</f>
        <v/>
      </c>
      <c r="I20" s="16"/>
      <c r="J20" s="18" t="str">
        <f>IF($F20="","",IF($B$2="","",IF($B$2="USD/KRW",H20,IF(OR($B$3="",$B$4="",$I20=""),"",IF($B$6="곱셈",ROUNDDOWN(($B$3+H20/100)*($B$4+$I20/$B$7),$B$8)-ROUNDDOWN($B$3*$B$4,$B$8),ROUNDDOWN(($B$3+H20/100)/($B$4+$I20/$B$7),$B$8)-ROUNDDOWN($B$3/$B$4,$B$8))*$B$9))))</f>
        <v/>
      </c>
      <c r="K20" s="19" t="str">
        <f t="shared" ca="1" si="4"/>
        <v/>
      </c>
      <c r="L20" s="3"/>
      <c r="M20" s="3"/>
      <c r="N20" s="3"/>
      <c r="O20" s="3"/>
      <c r="P20" s="3"/>
      <c r="Q20" s="3"/>
      <c r="R20" s="3"/>
    </row>
    <row r="21" spans="1:18" ht="17.25" customHeight="1" thickBot="1">
      <c r="A21" s="24" t="s">
        <v>39</v>
      </c>
      <c r="B21" s="25"/>
      <c r="C21" s="129"/>
      <c r="D21" s="66"/>
      <c r="E21" s="46" t="str">
        <f t="shared" ca="1" si="3"/>
        <v/>
      </c>
      <c r="F21" s="16"/>
      <c r="G21" s="16"/>
      <c r="H21" s="17" t="str">
        <f>IF(F21="","",F21+G21)</f>
        <v/>
      </c>
      <c r="I21" s="16"/>
      <c r="J21" s="18" t="str">
        <f>IF($F21="","",IF($B$2="","",IF($B$2="USD/KRW",H21,IF(OR($B$3="",$B$4="",$I21=""),"",IF($B$6="곱셈",ROUNDDOWN(($B$3+H21/100)*($B$4+$I21/$B$7),$B$8)-ROUNDDOWN($B$3*$B$4,$B$8),ROUNDDOWN(($B$3+H21/100)/($B$4+$I21/$B$7),$B$8)-ROUNDDOWN($B$3/$B$4,$B$8))*$B$9))))</f>
        <v/>
      </c>
      <c r="K21" s="19" t="str">
        <f t="shared" ca="1" si="4"/>
        <v/>
      </c>
      <c r="L21" s="3"/>
      <c r="M21" s="3"/>
      <c r="N21" s="3"/>
      <c r="O21" s="3"/>
      <c r="P21" s="3"/>
      <c r="Q21" s="3"/>
      <c r="R21" s="3"/>
    </row>
    <row r="22" spans="1:18" ht="17.25" customHeight="1" thickBot="1">
      <c r="A22" s="24" t="s">
        <v>40</v>
      </c>
      <c r="B22" s="25">
        <v>10</v>
      </c>
      <c r="C22" s="129"/>
      <c r="D22" s="66"/>
      <c r="E22" s="46" t="str">
        <f t="shared" ca="1" si="3"/>
        <v/>
      </c>
      <c r="F22" s="16"/>
      <c r="G22" s="16"/>
      <c r="H22" s="17" t="str">
        <f t="shared" si="5"/>
        <v/>
      </c>
      <c r="I22" s="16"/>
      <c r="J22" s="18" t="str">
        <f t="shared" si="6"/>
        <v/>
      </c>
      <c r="K22" s="19" t="str">
        <f t="shared" ca="1" si="4"/>
        <v/>
      </c>
      <c r="L22" s="3"/>
      <c r="M22" s="3"/>
      <c r="N22" s="3"/>
      <c r="O22" s="3"/>
      <c r="P22" s="3"/>
      <c r="Q22" s="3"/>
      <c r="R22" s="3"/>
    </row>
    <row r="23" spans="1:18" ht="17.25" customHeight="1" thickBot="1">
      <c r="A23" s="24" t="s">
        <v>41</v>
      </c>
      <c r="B23" s="25" t="s">
        <v>100</v>
      </c>
      <c r="C23" s="129"/>
      <c r="D23" s="66"/>
      <c r="E23" s="46" t="str">
        <f t="shared" ca="1" si="3"/>
        <v/>
      </c>
      <c r="F23" s="16"/>
      <c r="G23" s="16"/>
      <c r="H23" s="17" t="str">
        <f t="shared" si="5"/>
        <v/>
      </c>
      <c r="I23" s="16"/>
      <c r="J23" s="18" t="str">
        <f t="shared" si="6"/>
        <v/>
      </c>
      <c r="K23" s="19" t="str">
        <f t="shared" ca="1" si="4"/>
        <v/>
      </c>
      <c r="L23" s="3"/>
      <c r="M23" s="3"/>
      <c r="N23" s="3"/>
      <c r="O23" s="3"/>
      <c r="P23" s="3"/>
      <c r="Q23" s="3"/>
      <c r="R23" s="3"/>
    </row>
    <row r="24" spans="1:18" ht="17.25" customHeight="1" thickBot="1">
      <c r="A24" s="96" t="s">
        <v>90</v>
      </c>
      <c r="B24" s="25">
        <v>10</v>
      </c>
      <c r="C24" s="129"/>
      <c r="D24" s="66"/>
      <c r="E24" s="46" t="str">
        <f t="shared" ca="1" si="3"/>
        <v/>
      </c>
      <c r="F24" s="16"/>
      <c r="G24" s="16"/>
      <c r="H24" s="17" t="str">
        <f t="shared" si="5"/>
        <v/>
      </c>
      <c r="I24" s="16"/>
      <c r="J24" s="18" t="str">
        <f t="shared" si="6"/>
        <v/>
      </c>
      <c r="K24" s="19" t="str">
        <f t="shared" ca="1" si="4"/>
        <v/>
      </c>
      <c r="L24" s="3"/>
      <c r="M24" s="3"/>
      <c r="N24" s="3"/>
      <c r="O24" s="3"/>
      <c r="P24" s="3"/>
      <c r="Q24" s="3"/>
      <c r="R24" s="3"/>
    </row>
    <row r="25" spans="1:18" ht="17.25" customHeight="1" thickBot="1">
      <c r="A25" s="24" t="s">
        <v>43</v>
      </c>
      <c r="B25" s="25"/>
      <c r="C25" s="129"/>
      <c r="D25" s="66"/>
      <c r="E25" s="46" t="str">
        <f t="shared" ca="1" si="3"/>
        <v/>
      </c>
      <c r="F25" s="16"/>
      <c r="G25" s="16"/>
      <c r="H25" s="17" t="str">
        <f t="shared" si="5"/>
        <v/>
      </c>
      <c r="I25" s="16"/>
      <c r="J25" s="18" t="str">
        <f t="shared" si="6"/>
        <v/>
      </c>
      <c r="K25" s="19" t="str">
        <f t="shared" ca="1" si="4"/>
        <v/>
      </c>
      <c r="L25" s="3"/>
      <c r="M25" s="3"/>
      <c r="N25" s="3"/>
      <c r="O25" s="3"/>
      <c r="P25" s="3"/>
      <c r="Q25" s="3"/>
      <c r="R25" s="3"/>
    </row>
    <row r="26" spans="1:18" ht="17.25" customHeight="1" thickBot="1">
      <c r="A26" s="24" t="s">
        <v>44</v>
      </c>
      <c r="B26" s="25">
        <v>4</v>
      </c>
      <c r="C26" s="129"/>
      <c r="D26" s="67"/>
      <c r="E26" s="46" t="str">
        <f t="shared" ca="1" si="3"/>
        <v/>
      </c>
      <c r="F26" s="16"/>
      <c r="G26" s="16"/>
      <c r="H26" s="17" t="str">
        <f t="shared" si="5"/>
        <v/>
      </c>
      <c r="I26" s="16"/>
      <c r="J26" s="18" t="str">
        <f t="shared" si="6"/>
        <v/>
      </c>
      <c r="K26" s="19" t="str">
        <f t="shared" ca="1" si="4"/>
        <v/>
      </c>
      <c r="L26" s="3"/>
      <c r="M26" s="3"/>
      <c r="N26" s="3"/>
      <c r="O26" s="3"/>
      <c r="P26" s="3"/>
      <c r="Q26" s="3"/>
      <c r="R26" s="3"/>
    </row>
    <row r="27" spans="1:18" ht="17.25" customHeight="1" thickBot="1">
      <c r="A27" s="24" t="s">
        <v>45</v>
      </c>
      <c r="B27" s="25" t="s">
        <v>46</v>
      </c>
      <c r="C27" s="129"/>
      <c r="D27" s="90">
        <f>D17</f>
        <v>46302</v>
      </c>
      <c r="E27" s="91" t="str">
        <f t="shared" ca="1" si="3"/>
        <v>1M</v>
      </c>
      <c r="F27" s="92">
        <f>F17</f>
        <v>-25</v>
      </c>
      <c r="G27" s="92">
        <v>100000</v>
      </c>
      <c r="H27" s="93">
        <f t="shared" si="5"/>
        <v>99975</v>
      </c>
      <c r="I27" s="92">
        <f>I17</f>
        <v>11.885</v>
      </c>
      <c r="J27" s="94">
        <f t="shared" si="6"/>
        <v>1165.73</v>
      </c>
      <c r="K27" s="95" t="str">
        <f t="shared" ca="1" si="4"/>
        <v>⚠ 입력확인(이론가 0.9)</v>
      </c>
      <c r="L27" s="3"/>
      <c r="M27" s="3"/>
      <c r="N27" s="3"/>
      <c r="O27" s="3"/>
      <c r="P27" s="3"/>
      <c r="Q27" s="3"/>
      <c r="R27" s="3"/>
    </row>
    <row r="28" spans="1:18" ht="21" customHeight="1" thickBot="1">
      <c r="A28" s="35" t="s">
        <v>47</v>
      </c>
      <c r="B28" s="25">
        <v>5</v>
      </c>
      <c r="C28" s="3"/>
      <c r="D28" s="3"/>
      <c r="E28" s="3"/>
      <c r="F28" s="77" t="s">
        <v>85</v>
      </c>
      <c r="G28" s="38" t="s">
        <v>48</v>
      </c>
      <c r="H28" s="39"/>
      <c r="I28" s="77" t="s">
        <v>85</v>
      </c>
      <c r="J28" s="40" t="s">
        <v>8</v>
      </c>
      <c r="K28" s="3"/>
      <c r="L28" s="77" t="s">
        <v>85</v>
      </c>
      <c r="M28" s="41" t="s">
        <v>49</v>
      </c>
      <c r="N28" s="32" t="s">
        <v>89</v>
      </c>
      <c r="O28" s="3"/>
      <c r="P28" s="3"/>
      <c r="Q28" s="3"/>
      <c r="R28" s="3"/>
    </row>
    <row r="29" spans="1:18" ht="16.5" customHeight="1" thickBot="1">
      <c r="A29" s="3"/>
      <c r="B29" s="3"/>
      <c r="C29" s="3"/>
      <c r="D29" s="3"/>
      <c r="E29" s="42" t="str">
        <f t="shared" ref="E29:E42" ca="1" si="7">IF(F29="","",ROUND((F29-TODAY())/30.4,0)&amp;"M")</f>
        <v>1M</v>
      </c>
      <c r="F29" s="70">
        <v>46302</v>
      </c>
      <c r="G29" s="16">
        <v>-111</v>
      </c>
      <c r="H29" s="43" t="str">
        <f t="shared" ref="H29:H42" ca="1" si="8">IF(I29="","",ROUND((I29-TODAY())/30.4,0)&amp;"M")</f>
        <v>3M</v>
      </c>
      <c r="I29" s="71">
        <v>46351</v>
      </c>
      <c r="J29" s="89">
        <v>2.9</v>
      </c>
      <c r="K29" s="86" t="str">
        <f t="shared" ref="K29:K42" ca="1" si="9">IF(L29="","",ROUND((L29-TODAY())/30.4,0)&amp;"M")</f>
        <v>3M</v>
      </c>
      <c r="L29" s="73">
        <f t="shared" ref="L29:L42" si="10">IF(I29="","",I29)</f>
        <v>46351</v>
      </c>
      <c r="M29" s="44">
        <f t="shared" ref="M29:M42" si="11">J29/100</f>
        <v>2.8999999999999998E-2</v>
      </c>
      <c r="N29" s="78" t="s">
        <v>88</v>
      </c>
      <c r="O29" s="79">
        <f>B5</f>
        <v>1555.83</v>
      </c>
      <c r="P29" s="3"/>
      <c r="Q29" s="3"/>
      <c r="R29" s="3"/>
    </row>
    <row r="30" spans="1:18" ht="16.5" customHeight="1">
      <c r="A30" s="119" t="s">
        <v>84</v>
      </c>
      <c r="B30" s="120"/>
      <c r="C30" s="45"/>
      <c r="D30" s="3"/>
      <c r="E30" s="46" t="str">
        <f t="shared" ca="1" si="7"/>
        <v/>
      </c>
      <c r="F30" s="71"/>
      <c r="G30" s="47"/>
      <c r="H30" s="48" t="str">
        <f t="shared" ca="1" si="8"/>
        <v>3M</v>
      </c>
      <c r="I30" s="71">
        <v>46373</v>
      </c>
      <c r="J30" s="89">
        <v>3.5</v>
      </c>
      <c r="K30" s="48" t="str">
        <f t="shared" ca="1" si="9"/>
        <v>3M</v>
      </c>
      <c r="L30" s="73">
        <f t="shared" si="10"/>
        <v>46373</v>
      </c>
      <c r="M30" s="50">
        <f t="shared" si="11"/>
        <v>3.5000000000000003E-2</v>
      </c>
      <c r="N30" s="80" t="s">
        <v>87</v>
      </c>
      <c r="O30" s="81">
        <f>M29</f>
        <v>2.8999999999999998E-2</v>
      </c>
      <c r="P30" s="85">
        <f>$O$29+O30</f>
        <v>1555.8589999999999</v>
      </c>
      <c r="Q30" s="3"/>
      <c r="R30" s="3"/>
    </row>
    <row r="31" spans="1:18" ht="16.5" customHeight="1">
      <c r="A31" s="121"/>
      <c r="B31" s="122"/>
      <c r="C31" s="45"/>
      <c r="D31" s="52"/>
      <c r="E31" s="46" t="str">
        <f t="shared" ca="1" si="7"/>
        <v/>
      </c>
      <c r="F31" s="71"/>
      <c r="G31" s="47"/>
      <c r="H31" s="48" t="str">
        <f t="shared" ca="1" si="8"/>
        <v/>
      </c>
      <c r="I31" s="71"/>
      <c r="J31" s="49"/>
      <c r="K31" s="48" t="str">
        <f t="shared" ca="1" si="9"/>
        <v/>
      </c>
      <c r="L31" s="73" t="str">
        <f t="shared" si="10"/>
        <v/>
      </c>
      <c r="M31" s="50">
        <f t="shared" si="11"/>
        <v>0</v>
      </c>
      <c r="N31" s="32"/>
      <c r="O31" s="82">
        <f t="shared" ref="O31:O36" si="12">M30</f>
        <v>3.5000000000000003E-2</v>
      </c>
      <c r="P31" s="3">
        <f t="shared" ref="P31:P36" si="13">$O$29+O31</f>
        <v>1555.865</v>
      </c>
      <c r="Q31" s="3"/>
      <c r="R31" s="3"/>
    </row>
    <row r="32" spans="1:18" ht="16.5" customHeight="1" thickBot="1">
      <c r="A32" s="123"/>
      <c r="B32" s="124"/>
      <c r="C32" s="45"/>
      <c r="D32" s="52"/>
      <c r="E32" s="46" t="str">
        <f t="shared" ca="1" si="7"/>
        <v/>
      </c>
      <c r="F32" s="71"/>
      <c r="G32" s="47"/>
      <c r="H32" s="48" t="str">
        <f t="shared" ca="1" si="8"/>
        <v/>
      </c>
      <c r="I32" s="71"/>
      <c r="J32" s="49"/>
      <c r="K32" s="48" t="str">
        <f t="shared" ca="1" si="9"/>
        <v/>
      </c>
      <c r="L32" s="73" t="str">
        <f t="shared" si="10"/>
        <v/>
      </c>
      <c r="M32" s="50">
        <f t="shared" si="11"/>
        <v>0</v>
      </c>
      <c r="N32" s="32"/>
      <c r="O32" s="82">
        <f t="shared" si="12"/>
        <v>0</v>
      </c>
      <c r="P32" s="3">
        <f t="shared" si="13"/>
        <v>1555.83</v>
      </c>
      <c r="Q32" s="3"/>
      <c r="R32" s="3"/>
    </row>
    <row r="33" spans="1:18" ht="16.5" customHeight="1">
      <c r="A33" s="51" t="s">
        <v>91</v>
      </c>
      <c r="B33" s="3"/>
      <c r="C33" s="45"/>
      <c r="D33" s="52"/>
      <c r="E33" s="46" t="str">
        <f t="shared" ca="1" si="7"/>
        <v/>
      </c>
      <c r="F33" s="71"/>
      <c r="G33" s="47"/>
      <c r="H33" s="48" t="str">
        <f t="shared" ca="1" si="8"/>
        <v/>
      </c>
      <c r="I33" s="71"/>
      <c r="J33" s="49"/>
      <c r="K33" s="48" t="str">
        <f t="shared" ca="1" si="9"/>
        <v/>
      </c>
      <c r="L33" s="73" t="str">
        <f t="shared" si="10"/>
        <v/>
      </c>
      <c r="M33" s="50">
        <f t="shared" si="11"/>
        <v>0</v>
      </c>
      <c r="N33" s="32"/>
      <c r="O33" s="82">
        <f t="shared" si="12"/>
        <v>0</v>
      </c>
      <c r="P33" s="3">
        <f t="shared" si="13"/>
        <v>1555.83</v>
      </c>
      <c r="Q33" s="3"/>
      <c r="R33" s="3"/>
    </row>
    <row r="34" spans="1:18" ht="16.5" customHeight="1">
      <c r="A34" s="51" t="s">
        <v>92</v>
      </c>
      <c r="B34" s="3"/>
      <c r="C34" s="45"/>
      <c r="D34" s="52"/>
      <c r="E34" s="46" t="str">
        <f t="shared" ca="1" si="7"/>
        <v/>
      </c>
      <c r="F34" s="71"/>
      <c r="G34" s="47"/>
      <c r="H34" s="48" t="str">
        <f t="shared" ca="1" si="8"/>
        <v/>
      </c>
      <c r="I34" s="71"/>
      <c r="J34" s="49"/>
      <c r="K34" s="48" t="str">
        <f t="shared" ca="1" si="9"/>
        <v/>
      </c>
      <c r="L34" s="73" t="str">
        <f t="shared" si="10"/>
        <v/>
      </c>
      <c r="M34" s="50">
        <f t="shared" si="11"/>
        <v>0</v>
      </c>
      <c r="N34" s="32"/>
      <c r="O34" s="82">
        <f t="shared" si="12"/>
        <v>0</v>
      </c>
      <c r="P34" s="3">
        <f t="shared" si="13"/>
        <v>1555.83</v>
      </c>
      <c r="Q34" s="3"/>
      <c r="R34" s="3"/>
    </row>
    <row r="35" spans="1:18" ht="16.5" customHeight="1">
      <c r="A35" s="3"/>
      <c r="B35" s="3"/>
      <c r="C35" s="45"/>
      <c r="D35" s="52"/>
      <c r="E35" s="46" t="str">
        <f t="shared" ca="1" si="7"/>
        <v/>
      </c>
      <c r="F35" s="71"/>
      <c r="G35" s="47"/>
      <c r="H35" s="48" t="str">
        <f t="shared" ca="1" si="8"/>
        <v/>
      </c>
      <c r="I35" s="71"/>
      <c r="J35" s="47"/>
      <c r="K35" s="48" t="str">
        <f t="shared" ca="1" si="9"/>
        <v/>
      </c>
      <c r="L35" s="73" t="str">
        <f t="shared" si="10"/>
        <v/>
      </c>
      <c r="M35" s="50">
        <f t="shared" si="11"/>
        <v>0</v>
      </c>
      <c r="N35" s="32"/>
      <c r="O35" s="82">
        <f t="shared" si="12"/>
        <v>0</v>
      </c>
      <c r="P35" s="3">
        <f t="shared" si="13"/>
        <v>1555.83</v>
      </c>
      <c r="Q35" s="3"/>
      <c r="R35" s="3"/>
    </row>
    <row r="36" spans="1:18" ht="16.5" customHeight="1" thickBot="1">
      <c r="A36" s="3"/>
      <c r="B36" s="3"/>
      <c r="C36" s="45"/>
      <c r="D36" s="3"/>
      <c r="E36" s="46" t="str">
        <f t="shared" ca="1" si="7"/>
        <v/>
      </c>
      <c r="F36" s="71"/>
      <c r="G36" s="47"/>
      <c r="H36" s="48" t="str">
        <f t="shared" ca="1" si="8"/>
        <v/>
      </c>
      <c r="I36" s="71"/>
      <c r="J36" s="47"/>
      <c r="K36" s="48" t="str">
        <f t="shared" ca="1" si="9"/>
        <v/>
      </c>
      <c r="L36" s="73" t="str">
        <f t="shared" si="10"/>
        <v/>
      </c>
      <c r="M36" s="50">
        <f t="shared" si="11"/>
        <v>0</v>
      </c>
      <c r="N36" s="83"/>
      <c r="O36" s="84">
        <f t="shared" si="12"/>
        <v>0</v>
      </c>
      <c r="P36" s="3">
        <f t="shared" si="13"/>
        <v>1555.83</v>
      </c>
      <c r="Q36" s="3"/>
      <c r="R36" s="3"/>
    </row>
    <row r="37" spans="1:18" ht="16.5" customHeight="1">
      <c r="A37" s="3"/>
      <c r="B37" s="3"/>
      <c r="C37" s="45"/>
      <c r="D37" s="3"/>
      <c r="E37" s="46" t="str">
        <f t="shared" ca="1" si="7"/>
        <v/>
      </c>
      <c r="F37" s="71"/>
      <c r="G37" s="47"/>
      <c r="H37" s="48" t="str">
        <f t="shared" ca="1" si="8"/>
        <v/>
      </c>
      <c r="I37" s="71"/>
      <c r="J37" s="47"/>
      <c r="K37" s="48" t="str">
        <f t="shared" ca="1" si="9"/>
        <v/>
      </c>
      <c r="L37" s="73" t="str">
        <f t="shared" si="10"/>
        <v/>
      </c>
      <c r="M37" s="50">
        <f t="shared" si="11"/>
        <v>0</v>
      </c>
      <c r="N37" s="3"/>
      <c r="O37" s="3"/>
      <c r="P37" s="3"/>
      <c r="Q37" s="3"/>
      <c r="R37" s="3"/>
    </row>
    <row r="38" spans="1:18" ht="16.5" customHeight="1">
      <c r="A38" s="3"/>
      <c r="B38" s="3"/>
      <c r="C38" s="45"/>
      <c r="D38" s="52"/>
      <c r="E38" s="46" t="str">
        <f t="shared" ca="1" si="7"/>
        <v/>
      </c>
      <c r="F38" s="71"/>
      <c r="G38" s="47"/>
      <c r="H38" s="48" t="str">
        <f t="shared" ca="1" si="8"/>
        <v/>
      </c>
      <c r="I38" s="71"/>
      <c r="J38" s="47"/>
      <c r="K38" s="48" t="str">
        <f t="shared" ca="1" si="9"/>
        <v/>
      </c>
      <c r="L38" s="73" t="str">
        <f t="shared" si="10"/>
        <v/>
      </c>
      <c r="M38" s="50">
        <f t="shared" si="11"/>
        <v>0</v>
      </c>
      <c r="N38" s="3"/>
      <c r="O38" s="3"/>
      <c r="P38" s="3"/>
      <c r="Q38" s="3"/>
      <c r="R38" s="3"/>
    </row>
    <row r="39" spans="1:18" ht="16.5" customHeight="1">
      <c r="A39" s="3"/>
      <c r="B39" s="3"/>
      <c r="C39" s="45"/>
      <c r="D39" s="52"/>
      <c r="E39" s="46" t="str">
        <f t="shared" ca="1" si="7"/>
        <v/>
      </c>
      <c r="F39" s="71"/>
      <c r="G39" s="47"/>
      <c r="H39" s="48" t="str">
        <f t="shared" ca="1" si="8"/>
        <v/>
      </c>
      <c r="I39" s="71"/>
      <c r="J39" s="47"/>
      <c r="K39" s="48" t="str">
        <f t="shared" ca="1" si="9"/>
        <v/>
      </c>
      <c r="L39" s="73" t="str">
        <f t="shared" si="10"/>
        <v/>
      </c>
      <c r="M39" s="50">
        <f t="shared" si="11"/>
        <v>0</v>
      </c>
      <c r="N39" s="3"/>
      <c r="O39" s="3"/>
      <c r="P39" s="3"/>
      <c r="Q39" s="3"/>
      <c r="R39" s="3"/>
    </row>
    <row r="40" spans="1:18" ht="16.5" customHeight="1">
      <c r="A40" s="3"/>
      <c r="B40" s="3"/>
      <c r="C40" s="45"/>
      <c r="D40" s="52"/>
      <c r="E40" s="46" t="str">
        <f t="shared" ca="1" si="7"/>
        <v/>
      </c>
      <c r="F40" s="71"/>
      <c r="G40" s="47"/>
      <c r="H40" s="48" t="str">
        <f t="shared" ca="1" si="8"/>
        <v/>
      </c>
      <c r="I40" s="71"/>
      <c r="J40" s="47"/>
      <c r="K40" s="48" t="str">
        <f t="shared" ca="1" si="9"/>
        <v/>
      </c>
      <c r="L40" s="73" t="str">
        <f t="shared" si="10"/>
        <v/>
      </c>
      <c r="M40" s="50">
        <f t="shared" si="11"/>
        <v>0</v>
      </c>
      <c r="N40" s="3"/>
      <c r="O40" s="3"/>
      <c r="P40" s="3"/>
      <c r="Q40" s="3"/>
      <c r="R40" s="3"/>
    </row>
    <row r="41" spans="1:18" ht="16.5" customHeight="1">
      <c r="A41" s="3"/>
      <c r="B41" s="3"/>
      <c r="C41" s="45"/>
      <c r="D41" s="52"/>
      <c r="E41" s="46" t="str">
        <f t="shared" ca="1" si="7"/>
        <v/>
      </c>
      <c r="F41" s="71"/>
      <c r="G41" s="47"/>
      <c r="H41" s="48" t="str">
        <f t="shared" ca="1" si="8"/>
        <v/>
      </c>
      <c r="I41" s="71"/>
      <c r="J41" s="47"/>
      <c r="K41" s="48" t="str">
        <f t="shared" ca="1" si="9"/>
        <v/>
      </c>
      <c r="L41" s="73" t="str">
        <f t="shared" si="10"/>
        <v/>
      </c>
      <c r="M41" s="50">
        <f t="shared" si="11"/>
        <v>0</v>
      </c>
      <c r="N41" s="3"/>
      <c r="O41" s="3"/>
      <c r="P41" s="3"/>
      <c r="Q41" s="3"/>
      <c r="R41" s="3"/>
    </row>
    <row r="42" spans="1:18" ht="17.25" customHeight="1" thickBot="1">
      <c r="A42" s="3"/>
      <c r="B42" s="3"/>
      <c r="C42" s="45"/>
      <c r="D42" s="52"/>
      <c r="E42" s="53" t="str">
        <f t="shared" ca="1" si="7"/>
        <v/>
      </c>
      <c r="F42" s="72"/>
      <c r="G42" s="54"/>
      <c r="H42" s="55" t="str">
        <f t="shared" ca="1" si="8"/>
        <v/>
      </c>
      <c r="I42" s="72"/>
      <c r="J42" s="54"/>
      <c r="K42" s="55" t="str">
        <f t="shared" ca="1" si="9"/>
        <v/>
      </c>
      <c r="L42" s="73" t="str">
        <f t="shared" si="10"/>
        <v/>
      </c>
      <c r="M42" s="56">
        <f t="shared" si="11"/>
        <v>0</v>
      </c>
      <c r="N42" s="3"/>
      <c r="O42" s="3"/>
      <c r="P42" s="3"/>
      <c r="Q42" s="3"/>
      <c r="R42" s="3"/>
    </row>
    <row r="43" spans="1:18" ht="16.5" customHeight="1">
      <c r="A43" s="3"/>
      <c r="B43" s="3"/>
      <c r="C43" s="3"/>
      <c r="D43" s="3"/>
      <c r="E43" s="3"/>
      <c r="F43" s="57"/>
      <c r="G43" s="3"/>
      <c r="H43" s="3"/>
      <c r="I43" s="57"/>
      <c r="J43" s="3"/>
      <c r="K43" s="3"/>
      <c r="L43" s="58"/>
      <c r="M43" s="58"/>
      <c r="N43" s="3"/>
      <c r="O43" s="3"/>
      <c r="P43" s="3"/>
      <c r="Q43" s="3"/>
      <c r="R43" s="3"/>
    </row>
    <row r="44" spans="1:18" ht="16.5" customHeight="1">
      <c r="A44" s="3"/>
      <c r="B44" s="3"/>
      <c r="C44" s="3"/>
      <c r="D44" s="3"/>
      <c r="E44" s="3"/>
      <c r="F44" s="57"/>
      <c r="G44" s="3"/>
      <c r="H44" s="3"/>
      <c r="I44" s="57"/>
      <c r="J44" s="3"/>
      <c r="K44" s="3"/>
      <c r="L44" s="58"/>
      <c r="M44" s="58"/>
      <c r="N44" s="3"/>
      <c r="O44" s="3"/>
      <c r="P44" s="3"/>
      <c r="Q44" s="3"/>
      <c r="R44" s="3"/>
    </row>
    <row r="45" spans="1:18" ht="16.5" customHeight="1">
      <c r="F45" s="59"/>
      <c r="I45" s="59"/>
    </row>
    <row r="46" spans="1:18" ht="16.5" customHeight="1">
      <c r="F46" s="59"/>
      <c r="I46" s="59"/>
    </row>
  </sheetData>
  <mergeCells count="6">
    <mergeCell ref="A30:B32"/>
    <mergeCell ref="C1:K1"/>
    <mergeCell ref="C2:K2"/>
    <mergeCell ref="D3:E3"/>
    <mergeCell ref="C4:C15"/>
    <mergeCell ref="C17:C27"/>
  </mergeCells>
  <phoneticPr fontId="21" type="noConversion"/>
  <conditionalFormatting sqref="L40">
    <cfRule type="expression" dxfId="97" priority="20">
      <formula>AND($F40&lt;&gt;"",$F40&gt;EDATE(TODAY(),12))</formula>
    </cfRule>
    <cfRule type="expression" dxfId="96" priority="21">
      <formula>AND($F40&lt;&gt;"",$F40&gt;EDATE(TODAY(),12))</formula>
    </cfRule>
    <cfRule type="expression" dxfId="95" priority="22">
      <formula>AND($F40&lt;&gt;"",$F40&gt;EDATE(TODAY(),12))</formula>
    </cfRule>
  </conditionalFormatting>
  <conditionalFormatting sqref="I40">
    <cfRule type="expression" dxfId="94" priority="23">
      <formula>AND($F40&lt;&gt;"",$F40&gt;EDATE(TODAY(),12))</formula>
    </cfRule>
  </conditionalFormatting>
  <conditionalFormatting sqref="L42">
    <cfRule type="expression" dxfId="93" priority="24">
      <formula>AND($F42&lt;&gt;"",$F42&gt;EDATE(TODAY(),12))</formula>
    </cfRule>
  </conditionalFormatting>
  <conditionalFormatting sqref="L41">
    <cfRule type="expression" dxfId="92" priority="25">
      <formula>AND($F41&lt;&gt;"",$F41&gt;EDATE(TODAY(),12))</formula>
    </cfRule>
  </conditionalFormatting>
  <conditionalFormatting sqref="L39">
    <cfRule type="expression" dxfId="91" priority="26">
      <formula>AND($F39&lt;&gt;"",$F39&gt;EDATE(TODAY(),12))</formula>
    </cfRule>
  </conditionalFormatting>
  <conditionalFormatting sqref="L38">
    <cfRule type="expression" dxfId="90" priority="27">
      <formula>AND($F38&lt;&gt;"",$F38&gt;EDATE(TODAY(),12))</formula>
    </cfRule>
  </conditionalFormatting>
  <conditionalFormatting sqref="L37">
    <cfRule type="expression" dxfId="89" priority="28">
      <formula>AND($F37&lt;&gt;"",$F37&gt;EDATE(TODAY(),12))</formula>
    </cfRule>
  </conditionalFormatting>
  <conditionalFormatting sqref="L36">
    <cfRule type="expression" dxfId="88" priority="29">
      <formula>AND($F36&lt;&gt;"",$F36&gt;EDATE(TODAY(),12))</formula>
    </cfRule>
  </conditionalFormatting>
  <conditionalFormatting sqref="L31:L35">
    <cfRule type="expression" dxfId="87" priority="30">
      <formula>AND($F31&lt;&gt;"",$F31&gt;EDATE(TODAY(),12))</formula>
    </cfRule>
  </conditionalFormatting>
  <conditionalFormatting sqref="L34">
    <cfRule type="expression" dxfId="86" priority="31">
      <formula>AND($F34&lt;&gt;"",$F34&gt;EDATE(TODAY(),12))</formula>
    </cfRule>
  </conditionalFormatting>
  <conditionalFormatting sqref="L33">
    <cfRule type="expression" dxfId="85" priority="32">
      <formula>AND($F33&lt;&gt;"",$F33&gt;EDATE(TODAY(),12))</formula>
    </cfRule>
  </conditionalFormatting>
  <conditionalFormatting sqref="L29:L42">
    <cfRule type="expression" dxfId="84" priority="33">
      <formula>AND($F29&lt;&gt;"",$F29&gt;EDATE(TODAY(),12))</formula>
    </cfRule>
  </conditionalFormatting>
  <conditionalFormatting sqref="I30:I32">
    <cfRule type="expression" dxfId="83" priority="34">
      <formula>AND($F30&lt;&gt;"",$F30&gt;EDATE(TODAY(),12))</formula>
    </cfRule>
  </conditionalFormatting>
  <conditionalFormatting sqref="D27">
    <cfRule type="expression" dxfId="82" priority="35">
      <formula>AND($D27&lt;&gt;"",$D27&gt;EDATE(TODAY(),12))</formula>
    </cfRule>
  </conditionalFormatting>
  <conditionalFormatting sqref="F29:F42">
    <cfRule type="expression" dxfId="81" priority="36">
      <formula>AND($F29&lt;&gt;"",$F29&gt;EDATE(TODAY(),12))</formula>
    </cfRule>
  </conditionalFormatting>
  <conditionalFormatting sqref="K4:K15">
    <cfRule type="expression" dxfId="80" priority="37">
      <formula>LEFT($K4,1)="⚠"</formula>
    </cfRule>
  </conditionalFormatting>
  <conditionalFormatting sqref="K17:K27">
    <cfRule type="expression" dxfId="79" priority="38">
      <formula>LEFT($K17,1)="⚠"</formula>
    </cfRule>
  </conditionalFormatting>
  <conditionalFormatting sqref="L36">
    <cfRule type="expression" dxfId="78" priority="18">
      <formula>AND($F36&lt;&gt;"",$F36&gt;EDATE(TODAY(),12))</formula>
    </cfRule>
  </conditionalFormatting>
  <conditionalFormatting sqref="L37">
    <cfRule type="expression" dxfId="77" priority="17">
      <formula>AND($F37&lt;&gt;"",$F37&gt;EDATE(TODAY(),12))</formula>
    </cfRule>
  </conditionalFormatting>
  <conditionalFormatting sqref="L38">
    <cfRule type="expression" dxfId="76" priority="16">
      <formula>AND($F38&lt;&gt;"",$F38&gt;EDATE(TODAY(),12))</formula>
    </cfRule>
  </conditionalFormatting>
  <conditionalFormatting sqref="L39">
    <cfRule type="expression" dxfId="75" priority="15">
      <formula>AND($F39&lt;&gt;"",$F39&gt;EDATE(TODAY(),12))</formula>
    </cfRule>
  </conditionalFormatting>
  <conditionalFormatting sqref="L40">
    <cfRule type="expression" dxfId="74" priority="14">
      <formula>AND($F40&lt;&gt;"",$F40&gt;EDATE(TODAY(),12))</formula>
    </cfRule>
  </conditionalFormatting>
  <conditionalFormatting sqref="L41">
    <cfRule type="expression" dxfId="73" priority="13">
      <formula>AND($F41&lt;&gt;"",$F41&gt;EDATE(TODAY(),12))</formula>
    </cfRule>
  </conditionalFormatting>
  <conditionalFormatting sqref="L30">
    <cfRule type="expression" dxfId="72" priority="12">
      <formula>AND($F30&lt;&gt;"",$F30&gt;EDATE(TODAY(),12))</formula>
    </cfRule>
  </conditionalFormatting>
  <conditionalFormatting sqref="L29:L42">
    <cfRule type="expression" dxfId="71" priority="11">
      <formula>AND($F29&lt;&gt;"",$F29&gt;EDATE(TODAY(),12))</formula>
    </cfRule>
  </conditionalFormatting>
  <conditionalFormatting sqref="I30">
    <cfRule type="expression" dxfId="70" priority="9">
      <formula>AND($F30&lt;&gt;"",$F30&gt;EDATE(TODAY(),12))</formula>
    </cfRule>
  </conditionalFormatting>
  <conditionalFormatting sqref="I30">
    <cfRule type="expression" dxfId="69" priority="7">
      <formula>AND($F30&lt;&gt;"",$F30&gt;EDATE(TODAY(),12))</formula>
    </cfRule>
  </conditionalFormatting>
  <conditionalFormatting sqref="I30">
    <cfRule type="expression" dxfId="68" priority="6">
      <formula>AND($F30&lt;&gt;"",$F30&gt;EDATE(TODAY(),12))</formula>
    </cfRule>
  </conditionalFormatting>
  <conditionalFormatting sqref="I29">
    <cfRule type="expression" dxfId="67" priority="4">
      <formula>AND($F29&lt;&gt;"",$F29&gt;EDATE(TODAY(),12))</formula>
    </cfRule>
  </conditionalFormatting>
  <conditionalFormatting sqref="I29">
    <cfRule type="expression" dxfId="66" priority="3">
      <formula>AND($F29&lt;&gt;"",$F29&gt;EDATE(TODAY(),12))</formula>
    </cfRule>
  </conditionalFormatting>
  <conditionalFormatting sqref="I29">
    <cfRule type="expression" dxfId="65" priority="2">
      <formula>AND($F29&lt;&gt;"",$F29&gt;EDATE(TODAY(),12))</formula>
    </cfRule>
  </conditionalFormatting>
  <conditionalFormatting sqref="I29">
    <cfRule type="expression" dxfId="64" priority="1">
      <formula>AND($F29&lt;&gt;"",$F29&gt;EDATE(TODAY(),12))</formula>
    </cfRule>
  </conditionalFormatting>
  <dataValidations disablePrompts="1" count="1">
    <dataValidation type="list" allowBlank="1" sqref="B2">
      <formula1>통화설정!$A$2:$A$13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R46"/>
  <sheetViews>
    <sheetView tabSelected="1" zoomScaleNormal="100" workbookViewId="0">
      <selection activeCell="D17" sqref="D17"/>
    </sheetView>
  </sheetViews>
  <sheetFormatPr defaultColWidth="8.5" defaultRowHeight="16.5"/>
  <cols>
    <col min="1" max="1" width="18.625" style="1" customWidth="1"/>
    <col min="2" max="2" width="8.625" style="1" customWidth="1"/>
    <col min="3" max="3" width="7.5" style="1" customWidth="1"/>
    <col min="4" max="4" width="11.875" style="1" customWidth="1"/>
    <col min="5" max="5" width="5.625" style="1" customWidth="1"/>
    <col min="6" max="6" width="11" style="1" customWidth="1"/>
    <col min="7" max="7" width="10.375" style="1" customWidth="1"/>
    <col min="8" max="8" width="12.625" style="1" customWidth="1"/>
    <col min="9" max="9" width="12.25" style="1" customWidth="1"/>
    <col min="10" max="10" width="10.375" style="1" customWidth="1"/>
    <col min="11" max="11" width="12" style="1" customWidth="1"/>
    <col min="12" max="12" width="11.125" style="1" customWidth="1"/>
    <col min="13" max="13" width="9.875" style="1" customWidth="1"/>
    <col min="14" max="14" width="9" customWidth="1"/>
  </cols>
  <sheetData>
    <row r="1" spans="1:18" ht="16.5" customHeight="1">
      <c r="A1" s="2" t="s">
        <v>0</v>
      </c>
      <c r="B1" s="3"/>
      <c r="C1" s="125"/>
      <c r="D1" s="125"/>
      <c r="E1" s="125"/>
      <c r="F1" s="125"/>
      <c r="G1" s="125"/>
      <c r="H1" s="125"/>
      <c r="I1" s="125"/>
      <c r="J1" s="125"/>
      <c r="K1" s="125"/>
      <c r="L1" s="3"/>
      <c r="M1" s="3"/>
      <c r="N1" s="3"/>
      <c r="O1" s="3"/>
      <c r="P1" s="3"/>
      <c r="Q1" s="3"/>
      <c r="R1" s="3"/>
    </row>
    <row r="2" spans="1:18" ht="17.25" customHeight="1" thickBot="1">
      <c r="A2" s="4" t="s">
        <v>1</v>
      </c>
      <c r="B2" s="5" t="s">
        <v>49</v>
      </c>
      <c r="C2" s="126"/>
      <c r="D2" s="126"/>
      <c r="E2" s="126"/>
      <c r="F2" s="126"/>
      <c r="G2" s="126"/>
      <c r="H2" s="126"/>
      <c r="I2" s="126"/>
      <c r="J2" s="126"/>
      <c r="K2" s="126"/>
      <c r="L2" s="6"/>
      <c r="M2" s="6"/>
      <c r="N2" s="3"/>
      <c r="O2" s="3"/>
      <c r="P2" s="3"/>
      <c r="Q2" s="3"/>
      <c r="R2" s="3"/>
    </row>
    <row r="3" spans="1:18" ht="17.25" customHeight="1" thickBot="1">
      <c r="A3" s="3" t="s">
        <v>3</v>
      </c>
      <c r="B3" s="7">
        <v>1338.7</v>
      </c>
      <c r="C3" s="8"/>
      <c r="D3" s="127" t="s">
        <v>4</v>
      </c>
      <c r="E3" s="127"/>
      <c r="F3" s="9" t="s">
        <v>5</v>
      </c>
      <c r="G3" s="10" t="s">
        <v>6</v>
      </c>
      <c r="H3" s="11" t="s">
        <v>7</v>
      </c>
      <c r="I3" s="76" t="s">
        <v>83</v>
      </c>
      <c r="J3" s="12" t="s">
        <v>8</v>
      </c>
      <c r="K3" s="13" t="s">
        <v>9</v>
      </c>
      <c r="L3" s="6"/>
      <c r="M3" s="6"/>
      <c r="N3" s="3"/>
      <c r="O3" s="3"/>
      <c r="P3" s="3"/>
      <c r="Q3" s="3"/>
      <c r="R3" s="3"/>
    </row>
    <row r="4" spans="1:18" ht="16.5" customHeight="1" thickBot="1">
      <c r="A4" s="4" t="s">
        <v>10</v>
      </c>
      <c r="B4" s="14">
        <v>153.63</v>
      </c>
      <c r="C4" s="128" t="s">
        <v>11</v>
      </c>
      <c r="D4" s="66">
        <f>'인디가격(EUR)'!D4</f>
        <v>46308</v>
      </c>
      <c r="E4" s="15" t="s">
        <v>12</v>
      </c>
      <c r="F4" s="16">
        <f>'인디가격(EUR)'!F4</f>
        <v>-35</v>
      </c>
      <c r="G4" s="16"/>
      <c r="H4" s="17">
        <f t="shared" ref="H4:H15" si="0">IF(F4="","",F4+G4)</f>
        <v>-35</v>
      </c>
      <c r="I4" s="16"/>
      <c r="J4" s="18" t="str">
        <f t="shared" ref="J4:J15" si="1">IF($F4="","",IF($B$2="","",IF($B$2="USD/KRW",H4,IF(OR($B$3="",$B$4="",$I4=""),"",IF($B$6="곱셈",ROUNDDOWN(($B$3+H4/100)*($B$4+$I4/$B$7),$B$8)-ROUNDDOWN($B$3*$B$4,$B$8),ROUNDDOWN(($B$3+H4/100)/($B$4+$I4/$B$7),$B$8)-ROUNDDOWN($B$3/$B$4,$B$8))*$B$9))))</f>
        <v/>
      </c>
      <c r="K4" s="19" t="str">
        <f t="shared" ref="K4:K15" ca="1" si="2">IF(OR(J4="",$B$10="",D4=""),"",IF(ABS(J4-($B$10/100)*IF($B$2="USD/KRW",$B$3*100,IF($B$6="곱셈",$B$3*$B$4,$B$3/$B$4)*$B$9)*(YEARFRAC(TODAY(),D4,1)))&gt;MAX(ABS(($B$10/100)*IF($B$2="USD/KRW",$B$3*100,IF($B$6="곱셈",$B$3*$B$4,$B$3/$B$4)*$B$9)*(YEARFRAC(TODAY(),D4,1)))*0.5,IF($B$2="USD/KRW",30,2)),"⚠ 입력확인(이론가 "&amp;ROUND(($B$10/100)*IF($B$2="USD/KRW",$B$3*100,IF($B$6="곱셈",$B$3*$B$4,$B$3/$B$4)*$B$9)*(YEARFRAC(TODAY(),D4,1)),1)&amp;")",""))</f>
        <v/>
      </c>
      <c r="L4" s="6"/>
      <c r="M4" s="6"/>
      <c r="N4" s="3"/>
      <c r="O4" s="3"/>
      <c r="P4" s="3"/>
      <c r="Q4" s="3"/>
      <c r="R4" s="3"/>
    </row>
    <row r="5" spans="1:18" ht="17.25" customHeight="1" thickBot="1">
      <c r="A5" s="75" t="s">
        <v>82</v>
      </c>
      <c r="B5" s="74">
        <f>IF(OR($B$2="",$B$3=""),"",IF($B$2="USD/KRW",$B$3,IF($B$4="","",ROUNDDOWN(IF($B$6="곱셈",$B$3*$B$4,$B$3/$B$4),$B$8)*$B$9/IF($B$2="JPY/KRW",100,1))))</f>
        <v>8.7136999999999993</v>
      </c>
      <c r="C5" s="128"/>
      <c r="D5" s="66">
        <f>'인디가격(EUR)'!D5</f>
        <v>46338</v>
      </c>
      <c r="E5" s="21" t="s">
        <v>14</v>
      </c>
      <c r="F5" s="16">
        <f>'인디가격(EUR)'!F5</f>
        <v>-85</v>
      </c>
      <c r="G5" s="16"/>
      <c r="H5" s="17">
        <f t="shared" si="0"/>
        <v>-85</v>
      </c>
      <c r="I5" s="16"/>
      <c r="J5" s="18" t="str">
        <f t="shared" si="1"/>
        <v/>
      </c>
      <c r="K5" s="19" t="str">
        <f t="shared" ca="1" si="2"/>
        <v/>
      </c>
      <c r="L5" s="6"/>
      <c r="M5" s="6"/>
      <c r="N5" s="3"/>
      <c r="O5" s="3"/>
      <c r="P5" s="3"/>
      <c r="Q5" s="3"/>
      <c r="R5" s="3"/>
    </row>
    <row r="6" spans="1:18" ht="17.25" customHeight="1" thickBot="1">
      <c r="A6" s="20" t="s">
        <v>13</v>
      </c>
      <c r="B6" s="20" t="str">
        <f>IFERROR(INDEX(통화설정!$B$2:$B$13,MATCH($B$2,통화설정!$A$2:$A$13,0)),"")</f>
        <v>나눗셈</v>
      </c>
      <c r="C6" s="128"/>
      <c r="D6" s="66">
        <f>'인디가격(EUR)'!D6</f>
        <v>46367</v>
      </c>
      <c r="E6" s="21" t="s">
        <v>16</v>
      </c>
      <c r="F6" s="16">
        <f>'인디가격(EUR)'!F6</f>
        <v>-150</v>
      </c>
      <c r="G6" s="16"/>
      <c r="H6" s="17">
        <f t="shared" si="0"/>
        <v>-150</v>
      </c>
      <c r="I6" s="16"/>
      <c r="J6" s="18" t="str">
        <f t="shared" si="1"/>
        <v/>
      </c>
      <c r="K6" s="19" t="str">
        <f t="shared" ca="1" si="2"/>
        <v/>
      </c>
      <c r="L6" s="6"/>
      <c r="M6" s="6"/>
      <c r="N6" s="3"/>
      <c r="O6" s="3"/>
      <c r="P6" s="3"/>
      <c r="Q6" s="3"/>
      <c r="R6" s="3"/>
    </row>
    <row r="7" spans="1:18" ht="17.25" customHeight="1" thickBot="1">
      <c r="A7" s="20" t="s">
        <v>15</v>
      </c>
      <c r="B7" s="20">
        <f>IFERROR(INDEX(통화설정!$C$2:$C$13,MATCH($B$2,통화설정!$A$2:$A$13,0)),"")</f>
        <v>100</v>
      </c>
      <c r="C7" s="128"/>
      <c r="D7" s="66">
        <f>'인디가격(EUR)'!D7</f>
        <v>46398</v>
      </c>
      <c r="E7" s="21" t="s">
        <v>18</v>
      </c>
      <c r="F7" s="16">
        <f>'인디가격(EUR)'!F7</f>
        <v>-240</v>
      </c>
      <c r="G7" s="16"/>
      <c r="H7" s="17">
        <f t="shared" si="0"/>
        <v>-240</v>
      </c>
      <c r="I7" s="16"/>
      <c r="J7" s="18" t="str">
        <f t="shared" si="1"/>
        <v/>
      </c>
      <c r="K7" s="19" t="str">
        <f t="shared" ca="1" si="2"/>
        <v/>
      </c>
      <c r="L7" s="6"/>
      <c r="M7" s="6"/>
      <c r="N7" s="3"/>
      <c r="O7" s="3"/>
      <c r="P7" s="3"/>
      <c r="Q7" s="3"/>
      <c r="R7" s="3"/>
    </row>
    <row r="8" spans="1:18" ht="17.25" customHeight="1" thickBot="1">
      <c r="A8" s="20" t="s">
        <v>17</v>
      </c>
      <c r="B8" s="20">
        <f>IFERROR(INDEX(통화설정!$D$2:$D$13,MATCH($B$2,통화설정!$A$2:$A$13,0)),"")</f>
        <v>4</v>
      </c>
      <c r="C8" s="128"/>
      <c r="D8" s="66">
        <f>'인디가격(EUR)'!D8</f>
        <v>46429</v>
      </c>
      <c r="E8" s="21" t="s">
        <v>20</v>
      </c>
      <c r="F8" s="16">
        <f>'인디가격(EUR)'!F8</f>
        <v>-329</v>
      </c>
      <c r="G8" s="16"/>
      <c r="H8" s="17">
        <f t="shared" si="0"/>
        <v>-329</v>
      </c>
      <c r="I8" s="16"/>
      <c r="J8" s="18" t="str">
        <f t="shared" si="1"/>
        <v/>
      </c>
      <c r="K8" s="19" t="str">
        <f t="shared" ca="1" si="2"/>
        <v/>
      </c>
      <c r="L8" s="6"/>
      <c r="M8" s="6"/>
      <c r="N8" s="3"/>
      <c r="O8" s="3"/>
      <c r="P8" s="3"/>
      <c r="Q8" s="3"/>
      <c r="R8" s="3"/>
    </row>
    <row r="9" spans="1:18" ht="17.25" customHeight="1" thickBot="1">
      <c r="A9" s="20" t="s">
        <v>19</v>
      </c>
      <c r="B9" s="20">
        <f>IFERROR(INDEX(통화설정!$E$2:$E$13,MATCH($B$2,통화설정!$A$2:$A$13,0)),"")</f>
        <v>100</v>
      </c>
      <c r="C9" s="128"/>
      <c r="D9" s="66">
        <f>'인디가격(EUR)'!D9</f>
        <v>46457</v>
      </c>
      <c r="E9" s="21" t="s">
        <v>22</v>
      </c>
      <c r="F9" s="16">
        <f>'인디가격(EUR)'!F9</f>
        <v>-410</v>
      </c>
      <c r="G9" s="16"/>
      <c r="H9" s="17">
        <f t="shared" si="0"/>
        <v>-410</v>
      </c>
      <c r="I9" s="16"/>
      <c r="J9" s="18" t="str">
        <f t="shared" si="1"/>
        <v/>
      </c>
      <c r="K9" s="19" t="str">
        <f t="shared" ca="1" si="2"/>
        <v/>
      </c>
      <c r="L9" s="6"/>
      <c r="M9" s="6"/>
      <c r="N9" s="3"/>
      <c r="O9" s="3"/>
      <c r="P9" s="3"/>
      <c r="Q9" s="3"/>
      <c r="R9" s="3"/>
    </row>
    <row r="10" spans="1:18" ht="17.25" customHeight="1" thickBot="1">
      <c r="A10" s="22" t="s">
        <v>21</v>
      </c>
      <c r="B10" s="23">
        <f>IFERROR(통화설정!$H$2-INDEX(통화설정!$G$2:$G$13,MATCH($B$2,통화설정!$A$2:$A$13,0)),"")</f>
        <v>2</v>
      </c>
      <c r="C10" s="128"/>
      <c r="D10" s="66">
        <f>'인디가격(EUR)'!D10</f>
        <v>46489</v>
      </c>
      <c r="E10" s="21" t="s">
        <v>24</v>
      </c>
      <c r="F10" s="16">
        <f>'인디가격(EUR)'!F10</f>
        <v>-504</v>
      </c>
      <c r="G10" s="16"/>
      <c r="H10" s="17">
        <f t="shared" si="0"/>
        <v>-504</v>
      </c>
      <c r="I10" s="16"/>
      <c r="J10" s="18" t="str">
        <f t="shared" si="1"/>
        <v/>
      </c>
      <c r="K10" s="19" t="str">
        <f t="shared" ca="1" si="2"/>
        <v/>
      </c>
      <c r="L10" s="3"/>
      <c r="M10" s="3"/>
      <c r="N10" s="3"/>
      <c r="O10" s="3"/>
      <c r="P10" s="3"/>
      <c r="Q10" s="3"/>
      <c r="R10" s="3"/>
    </row>
    <row r="11" spans="1:18" ht="17.25" customHeight="1" thickBot="1">
      <c r="A11" s="24" t="s">
        <v>23</v>
      </c>
      <c r="B11" s="25">
        <v>15</v>
      </c>
      <c r="C11" s="128"/>
      <c r="D11" s="66">
        <f>'인디가격(EUR)'!D11</f>
        <v>46518</v>
      </c>
      <c r="E11" s="21" t="s">
        <v>26</v>
      </c>
      <c r="F11" s="16">
        <f>'인디가격(EUR)'!F11</f>
        <v>-589</v>
      </c>
      <c r="G11" s="16"/>
      <c r="H11" s="17">
        <f t="shared" si="0"/>
        <v>-589</v>
      </c>
      <c r="I11" s="16"/>
      <c r="J11" s="18" t="str">
        <f t="shared" si="1"/>
        <v/>
      </c>
      <c r="K11" s="19" t="str">
        <f t="shared" ca="1" si="2"/>
        <v/>
      </c>
      <c r="L11" s="26"/>
      <c r="M11" s="3"/>
      <c r="N11" s="3"/>
      <c r="O11" s="3"/>
      <c r="P11" s="3"/>
      <c r="Q11" s="3"/>
      <c r="R11" s="3"/>
    </row>
    <row r="12" spans="1:18" ht="17.25" customHeight="1" thickBot="1">
      <c r="A12" s="24" t="s">
        <v>25</v>
      </c>
      <c r="B12" s="25">
        <v>8</v>
      </c>
      <c r="C12" s="128"/>
      <c r="D12" s="66">
        <f>'인디가격(EUR)'!D12</f>
        <v>46549</v>
      </c>
      <c r="E12" s="21" t="s">
        <v>28</v>
      </c>
      <c r="F12" s="16">
        <f>'인디가격(EUR)'!F12</f>
        <v>-680</v>
      </c>
      <c r="G12" s="16"/>
      <c r="H12" s="17">
        <f t="shared" si="0"/>
        <v>-680</v>
      </c>
      <c r="I12" s="16"/>
      <c r="J12" s="18" t="str">
        <f t="shared" si="1"/>
        <v/>
      </c>
      <c r="K12" s="19" t="str">
        <f t="shared" ca="1" si="2"/>
        <v/>
      </c>
      <c r="L12" s="27"/>
      <c r="M12" s="3"/>
      <c r="N12" s="3"/>
      <c r="O12" s="3"/>
      <c r="P12" s="3"/>
      <c r="Q12" s="3"/>
      <c r="R12" s="3"/>
    </row>
    <row r="13" spans="1:18" ht="17.25" customHeight="1" thickBot="1">
      <c r="A13" s="24" t="s">
        <v>27</v>
      </c>
      <c r="B13" s="25">
        <v>12</v>
      </c>
      <c r="C13" s="128"/>
      <c r="D13" s="66">
        <f>'인디가격(EUR)'!D13</f>
        <v>46580</v>
      </c>
      <c r="E13" s="21" t="s">
        <v>30</v>
      </c>
      <c r="F13" s="16">
        <f>'인디가격(EUR)'!F13</f>
        <v>-753</v>
      </c>
      <c r="G13" s="16"/>
      <c r="H13" s="17">
        <f t="shared" si="0"/>
        <v>-753</v>
      </c>
      <c r="I13" s="16"/>
      <c r="J13" s="18" t="str">
        <f t="shared" si="1"/>
        <v/>
      </c>
      <c r="K13" s="19" t="str">
        <f t="shared" ca="1" si="2"/>
        <v/>
      </c>
      <c r="L13" s="27"/>
      <c r="M13" s="3"/>
      <c r="N13" s="3"/>
      <c r="O13" s="3"/>
      <c r="P13" s="3"/>
      <c r="Q13" s="3"/>
      <c r="R13" s="3"/>
    </row>
    <row r="14" spans="1:18" ht="17.25" customHeight="1" thickBot="1">
      <c r="A14" s="24" t="s">
        <v>29</v>
      </c>
      <c r="B14" s="25">
        <v>8</v>
      </c>
      <c r="C14" s="128"/>
      <c r="D14" s="66">
        <f>'인디가격(EUR)'!D14</f>
        <v>46610</v>
      </c>
      <c r="E14" s="28" t="s">
        <v>32</v>
      </c>
      <c r="F14" s="16">
        <f>'인디가격(EUR)'!F14</f>
        <v>-823</v>
      </c>
      <c r="G14" s="16"/>
      <c r="H14" s="17">
        <f t="shared" si="0"/>
        <v>-823</v>
      </c>
      <c r="I14" s="16"/>
      <c r="J14" s="18" t="str">
        <f t="shared" si="1"/>
        <v/>
      </c>
      <c r="K14" s="19" t="str">
        <f t="shared" ca="1" si="2"/>
        <v/>
      </c>
      <c r="L14" s="27"/>
      <c r="M14" s="3"/>
      <c r="N14" s="3"/>
      <c r="O14" s="3"/>
      <c r="P14" s="3"/>
      <c r="Q14" s="3"/>
      <c r="R14" s="3"/>
    </row>
    <row r="15" spans="1:18" ht="17.25" customHeight="1" thickBot="1">
      <c r="A15" s="24" t="s">
        <v>31</v>
      </c>
      <c r="B15" s="25">
        <v>13</v>
      </c>
      <c r="C15" s="128"/>
      <c r="D15" s="66">
        <f>'인디가격(EUR)'!D15</f>
        <v>46643</v>
      </c>
      <c r="E15" s="29" t="s">
        <v>34</v>
      </c>
      <c r="F15" s="16">
        <f>'인디가격(EUR)'!F15</f>
        <v>-900</v>
      </c>
      <c r="G15" s="16"/>
      <c r="H15" s="30">
        <f t="shared" si="0"/>
        <v>-900</v>
      </c>
      <c r="I15" s="16"/>
      <c r="J15" s="31" t="str">
        <f t="shared" si="1"/>
        <v/>
      </c>
      <c r="K15" s="19" t="str">
        <f t="shared" ca="1" si="2"/>
        <v/>
      </c>
      <c r="L15" s="27"/>
      <c r="M15" s="3"/>
      <c r="N15" s="3"/>
      <c r="O15" s="3"/>
      <c r="P15" s="3"/>
      <c r="Q15" s="3"/>
      <c r="R15" s="3"/>
    </row>
    <row r="16" spans="1:18" ht="17.25" customHeight="1" thickBot="1">
      <c r="A16" s="24" t="s">
        <v>33</v>
      </c>
      <c r="B16" s="25">
        <v>5</v>
      </c>
      <c r="C16" s="32"/>
      <c r="D16" s="3"/>
      <c r="E16" s="3"/>
      <c r="F16" s="3"/>
      <c r="G16" s="3"/>
      <c r="H16" s="3"/>
      <c r="I16" s="3"/>
      <c r="J16" s="33"/>
      <c r="K16" s="34"/>
      <c r="L16" s="3"/>
      <c r="M16" s="3"/>
      <c r="N16" s="3"/>
      <c r="O16" s="3"/>
      <c r="P16" s="3"/>
      <c r="Q16" s="3"/>
      <c r="R16" s="3"/>
    </row>
    <row r="17" spans="1:18" ht="16.5" customHeight="1" thickBot="1">
      <c r="A17" s="24" t="s">
        <v>35</v>
      </c>
      <c r="B17" s="25">
        <v>15</v>
      </c>
      <c r="C17" s="129" t="s">
        <v>36</v>
      </c>
      <c r="D17" s="69">
        <v>46308</v>
      </c>
      <c r="E17" s="42" t="str">
        <f t="shared" ref="E17:E27" ca="1" si="3">IF(D17="","",ROUND(YEARFRAC(TODAY(),D17,1)*12,0)&amp;"M")</f>
        <v>1M</v>
      </c>
      <c r="F17" s="16">
        <v>-30</v>
      </c>
      <c r="G17" s="16">
        <v>-12</v>
      </c>
      <c r="H17" s="36">
        <f t="shared" ref="H17:H27" si="4">IF(F17="","",F17+G17)</f>
        <v>-42</v>
      </c>
      <c r="I17" s="16">
        <v>-38.255000000000003</v>
      </c>
      <c r="J17" s="37">
        <f t="shared" ref="J17:J29" si="5">IF($F17="","",IF($B$2="","",IF($B$2="USD/KRW",H17,IF(OR($B$3="",$B$4="",$I17=""),"",IF($B$6="곱셈",ROUNDDOWN(($B$3+H17/100)*($B$4+$I17/$B$7),$B$8)-ROUNDDOWN($B$3*$B$4,$B$8),ROUNDDOWN(($B$3+H17/100)/($B$4+$I17/$B$7),$B$8)-ROUNDDOWN($B$3/$B$4,$B$8))*$B$9))))</f>
        <v>1.9099999999999895</v>
      </c>
      <c r="K17" s="19" t="str">
        <f t="shared" ref="K17:K27" ca="1" si="6">IF(OR(J17="",$B$10="",D17=""),"",IF(ABS(J17-($B$10/100)*IF($B$2="USD/KRW",$B$3*100,IF($B$6="곱셈",$B$3*$B$4,$B$3/$B$4)*$B$9)*(YEARFRAC(TODAY(),D17,1)))&gt;MAX(ABS(($B$10/100)*IF($B$2="USD/KRW",$B$3*100,IF($B$6="곱셈",$B$3*$B$4,$B$3/$B$4)*$B$9)*(YEARFRAC(TODAY(),D17,1)))*0.5,IF($B$2="USD/KRW",30,2)),"⚠ 입력확인(이론가 "&amp;ROUND(($B$10/100)*IF($B$2="USD/KRW",$B$3*100,IF($B$6="곱셈",$B$3*$B$4,$B$3/$B$4)*$B$9)*(YEARFRAC(TODAY(),D17,1)),1)&amp;")",""))</f>
        <v/>
      </c>
      <c r="L17" s="3"/>
      <c r="M17" s="3"/>
      <c r="N17" s="3"/>
      <c r="O17" s="3"/>
      <c r="P17" s="3"/>
      <c r="Q17" s="3"/>
      <c r="R17" s="3"/>
    </row>
    <row r="18" spans="1:18" ht="17.25" customHeight="1" thickBot="1">
      <c r="A18" s="35" t="s">
        <v>86</v>
      </c>
      <c r="B18" s="25"/>
      <c r="C18" s="129"/>
      <c r="D18" s="69"/>
      <c r="E18" s="46" t="str">
        <f t="shared" ca="1" si="3"/>
        <v/>
      </c>
      <c r="F18" s="16"/>
      <c r="G18" s="16"/>
      <c r="H18" s="17" t="str">
        <f t="shared" si="4"/>
        <v/>
      </c>
      <c r="I18" s="16"/>
      <c r="J18" s="18" t="str">
        <f t="shared" si="5"/>
        <v/>
      </c>
      <c r="K18" s="19" t="str">
        <f t="shared" ca="1" si="6"/>
        <v/>
      </c>
      <c r="L18" s="3"/>
      <c r="M18" s="3"/>
      <c r="N18" s="3"/>
      <c r="O18" s="3"/>
      <c r="P18" s="3"/>
      <c r="Q18" s="3"/>
      <c r="R18" s="3"/>
    </row>
    <row r="19" spans="1:18" ht="17.25" customHeight="1" thickBot="1">
      <c r="A19" s="24" t="s">
        <v>37</v>
      </c>
      <c r="B19" s="25">
        <v>10</v>
      </c>
      <c r="C19" s="129"/>
      <c r="D19" s="69"/>
      <c r="E19" s="46" t="str">
        <f t="shared" ca="1" si="3"/>
        <v/>
      </c>
      <c r="F19" s="16"/>
      <c r="G19" s="16"/>
      <c r="H19" s="17" t="str">
        <f t="shared" si="4"/>
        <v/>
      </c>
      <c r="I19" s="16"/>
      <c r="J19" s="18" t="str">
        <f t="shared" si="5"/>
        <v/>
      </c>
      <c r="K19" s="19" t="str">
        <f t="shared" ca="1" si="6"/>
        <v/>
      </c>
      <c r="L19" s="3"/>
      <c r="M19" s="3"/>
      <c r="N19" s="3"/>
      <c r="O19" s="3"/>
      <c r="P19" s="3"/>
      <c r="Q19" s="3"/>
      <c r="R19" s="3"/>
    </row>
    <row r="20" spans="1:18" ht="17.25" customHeight="1" thickBot="1">
      <c r="A20" s="24" t="s">
        <v>38</v>
      </c>
      <c r="B20" s="25">
        <v>7</v>
      </c>
      <c r="C20" s="129"/>
      <c r="D20" s="69"/>
      <c r="E20" s="46" t="str">
        <f t="shared" ca="1" si="3"/>
        <v/>
      </c>
      <c r="F20" s="16"/>
      <c r="G20" s="16"/>
      <c r="H20" s="17" t="str">
        <f t="shared" si="4"/>
        <v/>
      </c>
      <c r="I20" s="16"/>
      <c r="J20" s="18" t="str">
        <f t="shared" si="5"/>
        <v/>
      </c>
      <c r="K20" s="19" t="str">
        <f t="shared" ca="1" si="6"/>
        <v/>
      </c>
      <c r="L20" s="3"/>
      <c r="M20" s="3"/>
      <c r="N20" s="3"/>
      <c r="O20" s="3"/>
      <c r="P20" s="3"/>
      <c r="Q20" s="3"/>
      <c r="R20" s="3"/>
    </row>
    <row r="21" spans="1:18" ht="17.25" customHeight="1" thickBot="1">
      <c r="A21" s="24" t="s">
        <v>39</v>
      </c>
      <c r="B21" s="25"/>
      <c r="C21" s="129"/>
      <c r="D21" s="69"/>
      <c r="E21" s="46" t="str">
        <f t="shared" ca="1" si="3"/>
        <v/>
      </c>
      <c r="F21" s="16"/>
      <c r="G21" s="16"/>
      <c r="H21" s="17" t="str">
        <f t="shared" si="4"/>
        <v/>
      </c>
      <c r="I21" s="16"/>
      <c r="J21" s="18" t="str">
        <f t="shared" si="5"/>
        <v/>
      </c>
      <c r="K21" s="19" t="str">
        <f t="shared" ca="1" si="6"/>
        <v/>
      </c>
      <c r="L21" s="3"/>
      <c r="M21" s="3"/>
      <c r="N21" s="3"/>
      <c r="O21" s="3"/>
      <c r="P21" s="3"/>
      <c r="Q21" s="3"/>
      <c r="R21" s="3"/>
    </row>
    <row r="22" spans="1:18" ht="17.25" customHeight="1" thickBot="1">
      <c r="A22" s="24" t="s">
        <v>40</v>
      </c>
      <c r="B22" s="25">
        <v>10</v>
      </c>
      <c r="C22" s="129"/>
      <c r="D22" s="69"/>
      <c r="E22" s="46" t="str">
        <f t="shared" ca="1" si="3"/>
        <v/>
      </c>
      <c r="F22" s="16"/>
      <c r="G22" s="16"/>
      <c r="H22" s="17" t="str">
        <f t="shared" si="4"/>
        <v/>
      </c>
      <c r="I22" s="16"/>
      <c r="J22" s="18" t="str">
        <f t="shared" si="5"/>
        <v/>
      </c>
      <c r="K22" s="19" t="str">
        <f t="shared" ca="1" si="6"/>
        <v/>
      </c>
      <c r="L22" s="3"/>
      <c r="M22" s="3"/>
      <c r="N22" s="3"/>
      <c r="O22" s="3"/>
      <c r="P22" s="3"/>
      <c r="Q22" s="3"/>
      <c r="R22" s="3"/>
    </row>
    <row r="23" spans="1:18" ht="17.25" customHeight="1" thickBot="1">
      <c r="A23" s="24" t="s">
        <v>41</v>
      </c>
      <c r="B23" s="25">
        <v>10</v>
      </c>
      <c r="C23" s="129"/>
      <c r="D23" s="69"/>
      <c r="E23" s="46" t="str">
        <f t="shared" ca="1" si="3"/>
        <v/>
      </c>
      <c r="F23" s="16"/>
      <c r="G23" s="16"/>
      <c r="H23" s="17" t="str">
        <f t="shared" si="4"/>
        <v/>
      </c>
      <c r="I23" s="16"/>
      <c r="J23" s="18" t="str">
        <f t="shared" si="5"/>
        <v/>
      </c>
      <c r="K23" s="19" t="str">
        <f t="shared" ca="1" si="6"/>
        <v/>
      </c>
      <c r="L23" s="3"/>
      <c r="M23" s="3"/>
      <c r="N23" s="3"/>
      <c r="O23" s="3"/>
      <c r="P23" s="3"/>
      <c r="Q23" s="3"/>
      <c r="R23" s="3"/>
    </row>
    <row r="24" spans="1:18" ht="17.25" customHeight="1" thickBot="1">
      <c r="A24" s="35" t="s">
        <v>42</v>
      </c>
      <c r="B24" s="25">
        <v>10</v>
      </c>
      <c r="C24" s="129"/>
      <c r="D24" s="69"/>
      <c r="E24" s="46" t="str">
        <f t="shared" ca="1" si="3"/>
        <v/>
      </c>
      <c r="F24" s="16"/>
      <c r="G24" s="16"/>
      <c r="H24" s="17" t="str">
        <f t="shared" si="4"/>
        <v/>
      </c>
      <c r="I24" s="16"/>
      <c r="J24" s="18" t="str">
        <f t="shared" si="5"/>
        <v/>
      </c>
      <c r="K24" s="19" t="str">
        <f t="shared" ca="1" si="6"/>
        <v/>
      </c>
      <c r="L24" s="3"/>
      <c r="M24" s="3"/>
      <c r="N24" s="3"/>
      <c r="O24" s="3"/>
      <c r="P24" s="3"/>
      <c r="Q24" s="3"/>
      <c r="R24" s="3"/>
    </row>
    <row r="25" spans="1:18" ht="17.25" customHeight="1" thickBot="1">
      <c r="A25" s="24" t="s">
        <v>43</v>
      </c>
      <c r="B25" s="25"/>
      <c r="C25" s="129"/>
      <c r="D25" s="69"/>
      <c r="E25" s="46" t="str">
        <f t="shared" ca="1" si="3"/>
        <v/>
      </c>
      <c r="F25" s="16"/>
      <c r="G25" s="16"/>
      <c r="H25" s="17" t="str">
        <f t="shared" si="4"/>
        <v/>
      </c>
      <c r="I25" s="16"/>
      <c r="J25" s="18" t="str">
        <f t="shared" si="5"/>
        <v/>
      </c>
      <c r="K25" s="19" t="str">
        <f t="shared" ca="1" si="6"/>
        <v/>
      </c>
      <c r="L25" s="3"/>
      <c r="M25" s="3"/>
      <c r="N25" s="3"/>
      <c r="O25" s="3"/>
      <c r="P25" s="3"/>
      <c r="Q25" s="3"/>
      <c r="R25" s="3"/>
    </row>
    <row r="26" spans="1:18" ht="17.25" customHeight="1" thickBot="1">
      <c r="A26" s="24" t="s">
        <v>44</v>
      </c>
      <c r="B26" s="25">
        <v>5</v>
      </c>
      <c r="C26" s="129"/>
      <c r="D26" s="69"/>
      <c r="E26" s="46" t="str">
        <f t="shared" ca="1" si="3"/>
        <v/>
      </c>
      <c r="F26" s="16"/>
      <c r="G26" s="16"/>
      <c r="H26" s="17" t="str">
        <f t="shared" si="4"/>
        <v/>
      </c>
      <c r="I26" s="16"/>
      <c r="J26" s="18" t="str">
        <f t="shared" si="5"/>
        <v/>
      </c>
      <c r="K26" s="19" t="str">
        <f t="shared" ca="1" si="6"/>
        <v/>
      </c>
      <c r="L26" s="3"/>
      <c r="M26" s="3"/>
      <c r="N26" s="3"/>
      <c r="O26" s="3"/>
      <c r="P26" s="3"/>
      <c r="Q26" s="3"/>
      <c r="R26" s="3"/>
    </row>
    <row r="27" spans="1:18" ht="17.25" customHeight="1" thickBot="1">
      <c r="A27" s="24" t="s">
        <v>45</v>
      </c>
      <c r="B27" s="25" t="s">
        <v>46</v>
      </c>
      <c r="C27" s="129"/>
      <c r="D27" s="111">
        <f>D17</f>
        <v>46308</v>
      </c>
      <c r="E27" s="112" t="str">
        <f t="shared" ca="1" si="3"/>
        <v>1M</v>
      </c>
      <c r="F27" s="113">
        <f>F17</f>
        <v>-30</v>
      </c>
      <c r="G27" s="113">
        <v>1000000</v>
      </c>
      <c r="H27" s="114">
        <f t="shared" si="4"/>
        <v>999970</v>
      </c>
      <c r="I27" s="113">
        <f>I17</f>
        <v>-38.255000000000003</v>
      </c>
      <c r="J27" s="115">
        <f t="shared" si="5"/>
        <v>6527.3799999999992</v>
      </c>
      <c r="K27" s="116" t="str">
        <f t="shared" ca="1" si="6"/>
        <v>⚠ 입력확인(이론가 1.6)</v>
      </c>
      <c r="L27" s="3"/>
      <c r="M27" s="3"/>
      <c r="N27" s="3"/>
      <c r="O27" s="3">
        <v>0</v>
      </c>
      <c r="P27" s="3"/>
      <c r="Q27" s="3"/>
      <c r="R27" s="3"/>
    </row>
    <row r="28" spans="1:18" ht="21" customHeight="1" thickBot="1">
      <c r="A28" s="35" t="s">
        <v>47</v>
      </c>
      <c r="B28" s="25">
        <v>5</v>
      </c>
      <c r="C28" s="3"/>
      <c r="D28" s="3"/>
      <c r="E28" s="3"/>
      <c r="F28" s="77" t="s">
        <v>85</v>
      </c>
      <c r="G28" s="38" t="s">
        <v>48</v>
      </c>
      <c r="H28" s="97"/>
      <c r="I28" s="98" t="s">
        <v>85</v>
      </c>
      <c r="J28" s="99" t="s">
        <v>8</v>
      </c>
      <c r="K28" s="3"/>
      <c r="L28" s="77" t="s">
        <v>85</v>
      </c>
      <c r="M28" s="41" t="s">
        <v>49</v>
      </c>
      <c r="N28" s="32" t="s">
        <v>89</v>
      </c>
      <c r="O28" s="3"/>
      <c r="P28" s="3"/>
      <c r="Q28" s="3"/>
      <c r="R28" s="3"/>
    </row>
    <row r="29" spans="1:18" ht="16.5" customHeight="1" thickBot="1">
      <c r="A29" s="3"/>
      <c r="B29" s="3"/>
      <c r="C29" s="3"/>
      <c r="D29" s="3"/>
      <c r="E29" s="42" t="str">
        <f t="shared" ref="E29:E42" ca="1" si="7">IF(F29="","",ROUND((F29-TODAY())/30.4,0)&amp;"M")</f>
        <v/>
      </c>
      <c r="F29" s="70"/>
      <c r="G29" s="16"/>
      <c r="H29" s="100" t="str">
        <f t="shared" ref="H29:H42" ca="1" si="8">IF(I29="","",ROUND((I29-TODAY())/30.4,0)&amp;"M")</f>
        <v>12M</v>
      </c>
      <c r="I29" s="101">
        <v>46626</v>
      </c>
      <c r="J29" s="102">
        <v>1.9099999999999895</v>
      </c>
      <c r="K29" s="86" t="str">
        <f t="shared" ref="K29:K42" ca="1" si="9">IF(L29="","",ROUND((L29-TODAY())/30.4,0)&amp;"M")</f>
        <v>12M</v>
      </c>
      <c r="L29" s="73">
        <f t="shared" ref="L29:L42" si="10">IF(I29="","",I29)</f>
        <v>46626</v>
      </c>
      <c r="M29" s="44">
        <f t="shared" ref="M29:M42" si="11">J29/100</f>
        <v>1.9099999999999895E-2</v>
      </c>
      <c r="N29" s="78" t="s">
        <v>88</v>
      </c>
      <c r="O29" s="79">
        <f>B5</f>
        <v>8.7136999999999993</v>
      </c>
      <c r="P29" s="3"/>
      <c r="Q29" s="3"/>
      <c r="R29" s="3"/>
    </row>
    <row r="30" spans="1:18" ht="16.5" customHeight="1">
      <c r="A30" s="119" t="s">
        <v>84</v>
      </c>
      <c r="B30" s="120"/>
      <c r="C30" s="45"/>
      <c r="D30" s="3"/>
      <c r="E30" s="46" t="str">
        <f t="shared" ca="1" si="7"/>
        <v/>
      </c>
      <c r="F30" s="71"/>
      <c r="G30" s="47"/>
      <c r="H30" s="103" t="str">
        <f t="shared" ca="1" si="8"/>
        <v>2M</v>
      </c>
      <c r="I30" s="104">
        <v>46335</v>
      </c>
      <c r="J30" s="105">
        <v>4.1699999999998454</v>
      </c>
      <c r="K30" s="48" t="str">
        <f t="shared" ca="1" si="9"/>
        <v>2M</v>
      </c>
      <c r="L30" s="73">
        <f t="shared" si="10"/>
        <v>46335</v>
      </c>
      <c r="M30" s="50">
        <f t="shared" si="11"/>
        <v>4.1699999999998454E-2</v>
      </c>
      <c r="N30" s="80" t="s">
        <v>87</v>
      </c>
      <c r="O30" s="81">
        <f>M29</f>
        <v>1.9099999999999895E-2</v>
      </c>
      <c r="P30" s="85">
        <f>$O$29+O30</f>
        <v>8.7327999999999992</v>
      </c>
      <c r="Q30" s="3"/>
      <c r="R30" s="3"/>
    </row>
    <row r="31" spans="1:18" ht="16.5" customHeight="1">
      <c r="A31" s="121"/>
      <c r="B31" s="122"/>
      <c r="C31" s="45"/>
      <c r="D31" s="52"/>
      <c r="E31" s="46" t="str">
        <f t="shared" ca="1" si="7"/>
        <v/>
      </c>
      <c r="F31" s="71"/>
      <c r="G31" s="47"/>
      <c r="H31" s="103" t="str">
        <f t="shared" ca="1" si="8"/>
        <v>5M</v>
      </c>
      <c r="I31" s="101">
        <v>46423</v>
      </c>
      <c r="J31" s="106">
        <v>6.3599999999999</v>
      </c>
      <c r="K31" s="48" t="str">
        <f t="shared" ca="1" si="9"/>
        <v>5M</v>
      </c>
      <c r="L31" s="73">
        <f t="shared" si="10"/>
        <v>46423</v>
      </c>
      <c r="M31" s="50">
        <f t="shared" si="11"/>
        <v>6.3599999999999005E-2</v>
      </c>
      <c r="N31" s="32"/>
      <c r="O31" s="82">
        <f t="shared" ref="O31:O36" si="12">M30</f>
        <v>4.1699999999998454E-2</v>
      </c>
      <c r="P31" s="3">
        <f t="shared" ref="P31:P36" si="13">$O$29+O31</f>
        <v>8.7553999999999981</v>
      </c>
      <c r="Q31" s="3"/>
      <c r="R31" s="3"/>
    </row>
    <row r="32" spans="1:18" ht="16.5" customHeight="1" thickBot="1">
      <c r="A32" s="123"/>
      <c r="B32" s="124"/>
      <c r="C32" s="45"/>
      <c r="D32" s="52"/>
      <c r="E32" s="46" t="str">
        <f t="shared" ca="1" si="7"/>
        <v/>
      </c>
      <c r="F32" s="71"/>
      <c r="G32" s="47"/>
      <c r="H32" s="103" t="str">
        <f t="shared" ca="1" si="8"/>
        <v/>
      </c>
      <c r="I32" s="101"/>
      <c r="J32" s="106"/>
      <c r="K32" s="48" t="str">
        <f t="shared" ca="1" si="9"/>
        <v/>
      </c>
      <c r="L32" s="73" t="str">
        <f t="shared" si="10"/>
        <v/>
      </c>
      <c r="M32" s="50">
        <f t="shared" si="11"/>
        <v>0</v>
      </c>
      <c r="N32" s="32"/>
      <c r="O32" s="82">
        <f t="shared" si="12"/>
        <v>6.3599999999999005E-2</v>
      </c>
      <c r="P32" s="3">
        <f t="shared" si="13"/>
        <v>8.7772999999999985</v>
      </c>
      <c r="Q32" s="3"/>
      <c r="R32" s="3"/>
    </row>
    <row r="33" spans="1:18" ht="16.5" customHeight="1">
      <c r="A33" s="45"/>
      <c r="B33" s="45"/>
      <c r="C33" s="45"/>
      <c r="D33" s="52"/>
      <c r="E33" s="46" t="str">
        <f t="shared" ca="1" si="7"/>
        <v/>
      </c>
      <c r="F33" s="71"/>
      <c r="G33" s="47"/>
      <c r="H33" s="103" t="str">
        <f t="shared" ca="1" si="8"/>
        <v/>
      </c>
      <c r="I33" s="101"/>
      <c r="J33" s="106"/>
      <c r="K33" s="48" t="str">
        <f t="shared" ca="1" si="9"/>
        <v/>
      </c>
      <c r="L33" s="73" t="str">
        <f t="shared" si="10"/>
        <v/>
      </c>
      <c r="M33" s="50">
        <f t="shared" si="11"/>
        <v>0</v>
      </c>
      <c r="N33" s="32"/>
      <c r="O33" s="82">
        <f t="shared" si="12"/>
        <v>0</v>
      </c>
      <c r="P33" s="3">
        <f t="shared" si="13"/>
        <v>8.7136999999999993</v>
      </c>
      <c r="Q33" s="3"/>
      <c r="R33" s="3"/>
    </row>
    <row r="34" spans="1:18" ht="16.5" customHeight="1">
      <c r="A34" s="51"/>
      <c r="B34" s="3"/>
      <c r="C34" s="45"/>
      <c r="D34" s="52"/>
      <c r="E34" s="46" t="str">
        <f t="shared" ca="1" si="7"/>
        <v/>
      </c>
      <c r="F34" s="71"/>
      <c r="G34" s="47"/>
      <c r="H34" s="103" t="str">
        <f t="shared" ca="1" si="8"/>
        <v/>
      </c>
      <c r="I34" s="101"/>
      <c r="J34" s="106"/>
      <c r="K34" s="48" t="str">
        <f t="shared" ca="1" si="9"/>
        <v/>
      </c>
      <c r="L34" s="73" t="str">
        <f t="shared" si="10"/>
        <v/>
      </c>
      <c r="M34" s="50">
        <f t="shared" si="11"/>
        <v>0</v>
      </c>
      <c r="N34" s="32"/>
      <c r="O34" s="82">
        <f t="shared" si="12"/>
        <v>0</v>
      </c>
      <c r="P34" s="3">
        <f t="shared" si="13"/>
        <v>8.7136999999999993</v>
      </c>
      <c r="Q34" s="3"/>
      <c r="R34" s="3"/>
    </row>
    <row r="35" spans="1:18" ht="16.5" customHeight="1">
      <c r="A35" s="3"/>
      <c r="B35" s="3"/>
      <c r="C35" s="45"/>
      <c r="D35" s="52"/>
      <c r="E35" s="46" t="str">
        <f t="shared" ca="1" si="7"/>
        <v/>
      </c>
      <c r="F35" s="71"/>
      <c r="G35" s="47"/>
      <c r="H35" s="103" t="str">
        <f t="shared" ca="1" si="8"/>
        <v/>
      </c>
      <c r="I35" s="101"/>
      <c r="J35" s="107"/>
      <c r="K35" s="48" t="str">
        <f t="shared" ca="1" si="9"/>
        <v/>
      </c>
      <c r="L35" s="73" t="str">
        <f t="shared" si="10"/>
        <v/>
      </c>
      <c r="M35" s="50">
        <f t="shared" si="11"/>
        <v>0</v>
      </c>
      <c r="N35" s="32"/>
      <c r="O35" s="82">
        <f t="shared" si="12"/>
        <v>0</v>
      </c>
      <c r="P35" s="3">
        <f t="shared" si="13"/>
        <v>8.7136999999999993</v>
      </c>
      <c r="Q35" s="3"/>
      <c r="R35" s="3"/>
    </row>
    <row r="36" spans="1:18" ht="16.5" customHeight="1" thickBot="1">
      <c r="A36" s="3"/>
      <c r="B36" s="3"/>
      <c r="C36" s="45"/>
      <c r="D36" s="3"/>
      <c r="E36" s="46" t="str">
        <f t="shared" ca="1" si="7"/>
        <v/>
      </c>
      <c r="F36" s="71"/>
      <c r="G36" s="47"/>
      <c r="H36" s="103" t="str">
        <f t="shared" ca="1" si="8"/>
        <v/>
      </c>
      <c r="I36" s="101"/>
      <c r="J36" s="107"/>
      <c r="K36" s="48" t="str">
        <f t="shared" ca="1" si="9"/>
        <v/>
      </c>
      <c r="L36" s="73" t="str">
        <f t="shared" si="10"/>
        <v/>
      </c>
      <c r="M36" s="50">
        <f t="shared" si="11"/>
        <v>0</v>
      </c>
      <c r="N36" s="83"/>
      <c r="O36" s="84">
        <f t="shared" si="12"/>
        <v>0</v>
      </c>
      <c r="P36" s="3">
        <f t="shared" si="13"/>
        <v>8.7136999999999993</v>
      </c>
      <c r="Q36" s="3"/>
      <c r="R36" s="3"/>
    </row>
    <row r="37" spans="1:18" ht="16.5" customHeight="1">
      <c r="A37" s="3"/>
      <c r="B37" s="3"/>
      <c r="C37" s="45"/>
      <c r="D37" s="3"/>
      <c r="E37" s="46" t="str">
        <f t="shared" ca="1" si="7"/>
        <v/>
      </c>
      <c r="F37" s="71"/>
      <c r="G37" s="47"/>
      <c r="H37" s="103" t="str">
        <f t="shared" ca="1" si="8"/>
        <v/>
      </c>
      <c r="I37" s="101"/>
      <c r="J37" s="107"/>
      <c r="K37" s="48" t="str">
        <f t="shared" ca="1" si="9"/>
        <v/>
      </c>
      <c r="L37" s="73" t="str">
        <f t="shared" si="10"/>
        <v/>
      </c>
      <c r="M37" s="50">
        <f t="shared" si="11"/>
        <v>0</v>
      </c>
      <c r="N37" s="3"/>
      <c r="O37" s="3"/>
      <c r="P37" s="3"/>
      <c r="Q37" s="3"/>
      <c r="R37" s="3"/>
    </row>
    <row r="38" spans="1:18" ht="16.5" customHeight="1">
      <c r="A38" s="3"/>
      <c r="B38" s="3"/>
      <c r="C38" s="45"/>
      <c r="D38" s="52"/>
      <c r="E38" s="46" t="str">
        <f t="shared" ca="1" si="7"/>
        <v/>
      </c>
      <c r="F38" s="71"/>
      <c r="G38" s="47"/>
      <c r="H38" s="103" t="str">
        <f t="shared" ca="1" si="8"/>
        <v/>
      </c>
      <c r="I38" s="101"/>
      <c r="J38" s="107"/>
      <c r="K38" s="48" t="str">
        <f t="shared" ca="1" si="9"/>
        <v/>
      </c>
      <c r="L38" s="73" t="str">
        <f t="shared" si="10"/>
        <v/>
      </c>
      <c r="M38" s="50">
        <f t="shared" si="11"/>
        <v>0</v>
      </c>
      <c r="N38" s="3"/>
      <c r="O38" s="3"/>
      <c r="P38" s="3"/>
      <c r="Q38" s="3"/>
      <c r="R38" s="3"/>
    </row>
    <row r="39" spans="1:18" ht="16.5" customHeight="1">
      <c r="A39" s="3"/>
      <c r="B39" s="3"/>
      <c r="C39" s="45"/>
      <c r="D39" s="52"/>
      <c r="E39" s="46" t="str">
        <f t="shared" ca="1" si="7"/>
        <v/>
      </c>
      <c r="F39" s="71"/>
      <c r="G39" s="47"/>
      <c r="H39" s="103" t="str">
        <f t="shared" ca="1" si="8"/>
        <v/>
      </c>
      <c r="I39" s="101"/>
      <c r="J39" s="107"/>
      <c r="K39" s="48" t="str">
        <f t="shared" ca="1" si="9"/>
        <v/>
      </c>
      <c r="L39" s="73" t="str">
        <f t="shared" si="10"/>
        <v/>
      </c>
      <c r="M39" s="50">
        <f t="shared" si="11"/>
        <v>0</v>
      </c>
      <c r="N39" s="3"/>
      <c r="O39" s="3"/>
      <c r="P39" s="3"/>
      <c r="Q39" s="3"/>
      <c r="R39" s="3"/>
    </row>
    <row r="40" spans="1:18" ht="16.5" customHeight="1">
      <c r="A40" s="3"/>
      <c r="B40" s="3"/>
      <c r="C40" s="45"/>
      <c r="D40" s="52"/>
      <c r="E40" s="46" t="str">
        <f t="shared" ca="1" si="7"/>
        <v/>
      </c>
      <c r="F40" s="71"/>
      <c r="G40" s="47"/>
      <c r="H40" s="103" t="str">
        <f t="shared" ca="1" si="8"/>
        <v/>
      </c>
      <c r="I40" s="101"/>
      <c r="J40" s="107"/>
      <c r="K40" s="48" t="str">
        <f t="shared" ca="1" si="9"/>
        <v/>
      </c>
      <c r="L40" s="73" t="str">
        <f t="shared" si="10"/>
        <v/>
      </c>
      <c r="M40" s="50">
        <f t="shared" si="11"/>
        <v>0</v>
      </c>
      <c r="N40" s="3"/>
      <c r="O40" s="3"/>
      <c r="P40" s="3"/>
      <c r="Q40" s="3"/>
      <c r="R40" s="3"/>
    </row>
    <row r="41" spans="1:18" ht="16.5" customHeight="1">
      <c r="A41" s="3"/>
      <c r="B41" s="3"/>
      <c r="C41" s="45"/>
      <c r="D41" s="52"/>
      <c r="E41" s="46" t="str">
        <f t="shared" ca="1" si="7"/>
        <v/>
      </c>
      <c r="F41" s="71"/>
      <c r="G41" s="47"/>
      <c r="H41" s="103" t="str">
        <f t="shared" ca="1" si="8"/>
        <v/>
      </c>
      <c r="I41" s="101"/>
      <c r="J41" s="107"/>
      <c r="K41" s="48" t="str">
        <f t="shared" ca="1" si="9"/>
        <v/>
      </c>
      <c r="L41" s="73" t="str">
        <f t="shared" si="10"/>
        <v/>
      </c>
      <c r="M41" s="50">
        <f t="shared" si="11"/>
        <v>0</v>
      </c>
      <c r="N41" s="3"/>
      <c r="O41" s="3"/>
      <c r="P41" s="3"/>
      <c r="Q41" s="3"/>
      <c r="R41" s="3"/>
    </row>
    <row r="42" spans="1:18" ht="17.25" customHeight="1" thickBot="1">
      <c r="A42" s="3"/>
      <c r="B42" s="3"/>
      <c r="C42" s="45"/>
      <c r="D42" s="52"/>
      <c r="E42" s="53" t="str">
        <f t="shared" ca="1" si="7"/>
        <v/>
      </c>
      <c r="F42" s="72"/>
      <c r="G42" s="54"/>
      <c r="H42" s="108" t="str">
        <f t="shared" ca="1" si="8"/>
        <v/>
      </c>
      <c r="I42" s="109"/>
      <c r="J42" s="110"/>
      <c r="K42" s="55" t="str">
        <f t="shared" ca="1" si="9"/>
        <v/>
      </c>
      <c r="L42" s="73" t="str">
        <f t="shared" si="10"/>
        <v/>
      </c>
      <c r="M42" s="56">
        <f t="shared" si="11"/>
        <v>0</v>
      </c>
      <c r="N42" s="3"/>
      <c r="O42" s="3"/>
      <c r="P42" s="3"/>
      <c r="Q42" s="3"/>
      <c r="R42" s="3"/>
    </row>
    <row r="43" spans="1:18" ht="16.5" customHeight="1">
      <c r="A43" s="3"/>
      <c r="B43" s="3"/>
      <c r="C43" s="3"/>
      <c r="D43" s="3"/>
      <c r="E43" s="3"/>
      <c r="F43" s="57"/>
      <c r="G43" s="3"/>
      <c r="H43" s="3"/>
      <c r="I43" s="57"/>
      <c r="J43" s="3"/>
      <c r="K43" s="3"/>
      <c r="L43" s="58"/>
      <c r="M43" s="58"/>
      <c r="N43" s="3"/>
      <c r="O43" s="3"/>
      <c r="P43" s="3"/>
      <c r="Q43" s="3"/>
      <c r="R43" s="3"/>
    </row>
    <row r="44" spans="1:18" ht="16.5" customHeight="1">
      <c r="A44" s="3"/>
      <c r="B44" s="3"/>
      <c r="C44" s="3"/>
      <c r="D44" s="3"/>
      <c r="E44" s="3"/>
      <c r="F44" s="57"/>
      <c r="G44" s="3"/>
      <c r="H44" s="3"/>
      <c r="I44" s="57"/>
      <c r="J44" s="3"/>
      <c r="K44" s="3"/>
      <c r="L44" s="58"/>
      <c r="M44" s="58"/>
      <c r="N44" s="3"/>
      <c r="O44" s="3"/>
      <c r="P44" s="3"/>
      <c r="Q44" s="3"/>
      <c r="R44" s="3"/>
    </row>
    <row r="45" spans="1:18" ht="16.5" customHeight="1">
      <c r="F45" s="59"/>
      <c r="I45" s="59"/>
    </row>
    <row r="46" spans="1:18" ht="16.5" customHeight="1">
      <c r="F46" s="59"/>
      <c r="I46" s="59"/>
    </row>
  </sheetData>
  <mergeCells count="6">
    <mergeCell ref="A30:B32"/>
    <mergeCell ref="C1:K1"/>
    <mergeCell ref="C2:K2"/>
    <mergeCell ref="D3:E3"/>
    <mergeCell ref="C4:C15"/>
    <mergeCell ref="C17:C27"/>
  </mergeCells>
  <phoneticPr fontId="21" type="noConversion"/>
  <conditionalFormatting sqref="L40">
    <cfRule type="expression" dxfId="63" priority="29">
      <formula>AND($F40&lt;&gt;"",$F40&gt;EDATE(TODAY(),12))</formula>
    </cfRule>
    <cfRule type="expression" dxfId="62" priority="30">
      <formula>AND($F40&lt;&gt;"",$F40&gt;EDATE(TODAY(),12))</formula>
    </cfRule>
    <cfRule type="expression" dxfId="61" priority="31">
      <formula>AND($F40&lt;&gt;"",$F40&gt;EDATE(TODAY(),12))</formula>
    </cfRule>
  </conditionalFormatting>
  <conditionalFormatting sqref="I40">
    <cfRule type="expression" dxfId="60" priority="28">
      <formula>AND($F40&lt;&gt;"",$F40&gt;EDATE(TODAY(),12))</formula>
    </cfRule>
  </conditionalFormatting>
  <conditionalFormatting sqref="L42">
    <cfRule type="expression" dxfId="59" priority="27">
      <formula>AND($F42&lt;&gt;"",$F42&gt;EDATE(TODAY(),12))</formula>
    </cfRule>
  </conditionalFormatting>
  <conditionalFormatting sqref="L41">
    <cfRule type="expression" dxfId="58" priority="26">
      <formula>AND($F41&lt;&gt;"",$F41&gt;EDATE(TODAY(),12))</formula>
    </cfRule>
  </conditionalFormatting>
  <conditionalFormatting sqref="L39">
    <cfRule type="expression" dxfId="57" priority="25">
      <formula>AND($F39&lt;&gt;"",$F39&gt;EDATE(TODAY(),12))</formula>
    </cfRule>
  </conditionalFormatting>
  <conditionalFormatting sqref="L38">
    <cfRule type="expression" dxfId="56" priority="24">
      <formula>AND($F38&lt;&gt;"",$F38&gt;EDATE(TODAY(),12))</formula>
    </cfRule>
  </conditionalFormatting>
  <conditionalFormatting sqref="L37">
    <cfRule type="expression" dxfId="55" priority="23">
      <formula>AND($F37&lt;&gt;"",$F37&gt;EDATE(TODAY(),12))</formula>
    </cfRule>
  </conditionalFormatting>
  <conditionalFormatting sqref="L36">
    <cfRule type="expression" dxfId="54" priority="22">
      <formula>AND($F36&lt;&gt;"",$F36&gt;EDATE(TODAY(),12))</formula>
    </cfRule>
  </conditionalFormatting>
  <conditionalFormatting sqref="L31:L35">
    <cfRule type="expression" dxfId="53" priority="21">
      <formula>AND($F31&lt;&gt;"",$F31&gt;EDATE(TODAY(),12))</formula>
    </cfRule>
  </conditionalFormatting>
  <conditionalFormatting sqref="L34">
    <cfRule type="expression" dxfId="52" priority="20">
      <formula>AND($F34&lt;&gt;"",$F34&gt;EDATE(TODAY(),12))</formula>
    </cfRule>
  </conditionalFormatting>
  <conditionalFormatting sqref="L33">
    <cfRule type="expression" dxfId="51" priority="19">
      <formula>AND($F33&lt;&gt;"",$F33&gt;EDATE(TODAY(),12))</formula>
    </cfRule>
  </conditionalFormatting>
  <conditionalFormatting sqref="L29:L42">
    <cfRule type="expression" dxfId="50" priority="18">
      <formula>AND($F29&lt;&gt;"",$F29&gt;EDATE(TODAY(),12))</formula>
    </cfRule>
  </conditionalFormatting>
  <conditionalFormatting sqref="I29:I32">
    <cfRule type="expression" dxfId="49" priority="17">
      <formula>AND($F29&lt;&gt;"",$F29&gt;EDATE(TODAY(),12))</formula>
    </cfRule>
  </conditionalFormatting>
  <conditionalFormatting sqref="D18:D27">
    <cfRule type="expression" dxfId="48" priority="16">
      <formula>AND($D18&lt;&gt;"",$D18&gt;EDATE(TODAY(),12))</formula>
    </cfRule>
  </conditionalFormatting>
  <conditionalFormatting sqref="F29:F42">
    <cfRule type="expression" dxfId="47" priority="15">
      <formula>AND($F29&lt;&gt;"",$F29&gt;EDATE(TODAY(),12))</formula>
    </cfRule>
  </conditionalFormatting>
  <conditionalFormatting sqref="K4:K15">
    <cfRule type="expression" dxfId="46" priority="14">
      <formula>LEFT($K4,1)="⚠"</formula>
    </cfRule>
  </conditionalFormatting>
  <conditionalFormatting sqref="K17:K27">
    <cfRule type="expression" dxfId="45" priority="13">
      <formula>LEFT($K17,1)="⚠"</formula>
    </cfRule>
  </conditionalFormatting>
  <conditionalFormatting sqref="L36">
    <cfRule type="expression" dxfId="44" priority="12">
      <formula>AND($F36&lt;&gt;"",$F36&gt;EDATE(TODAY(),12))</formula>
    </cfRule>
  </conditionalFormatting>
  <conditionalFormatting sqref="L37">
    <cfRule type="expression" dxfId="43" priority="11">
      <formula>AND($F37&lt;&gt;"",$F37&gt;EDATE(TODAY(),12))</formula>
    </cfRule>
  </conditionalFormatting>
  <conditionalFormatting sqref="L38">
    <cfRule type="expression" dxfId="42" priority="10">
      <formula>AND($F38&lt;&gt;"",$F38&gt;EDATE(TODAY(),12))</formula>
    </cfRule>
  </conditionalFormatting>
  <conditionalFormatting sqref="L39">
    <cfRule type="expression" dxfId="41" priority="9">
      <formula>AND($F39&lt;&gt;"",$F39&gt;EDATE(TODAY(),12))</formula>
    </cfRule>
  </conditionalFormatting>
  <conditionalFormatting sqref="L40">
    <cfRule type="expression" dxfId="40" priority="8">
      <formula>AND($F40&lt;&gt;"",$F40&gt;EDATE(TODAY(),12))</formula>
    </cfRule>
  </conditionalFormatting>
  <conditionalFormatting sqref="L41">
    <cfRule type="expression" dxfId="39" priority="7">
      <formula>AND($F41&lt;&gt;"",$F41&gt;EDATE(TODAY(),12))</formula>
    </cfRule>
  </conditionalFormatting>
  <conditionalFormatting sqref="L30">
    <cfRule type="expression" dxfId="38" priority="6">
      <formula>AND($F30&lt;&gt;"",$F30&gt;EDATE(TODAY(),12))</formula>
    </cfRule>
  </conditionalFormatting>
  <conditionalFormatting sqref="L29:L42">
    <cfRule type="expression" dxfId="37" priority="5">
      <formula>AND($F29&lt;&gt;"",$F29&gt;EDATE(TODAY(),12))</formula>
    </cfRule>
  </conditionalFormatting>
  <conditionalFormatting sqref="I29">
    <cfRule type="expression" dxfId="36" priority="4">
      <formula>AND($F29&lt;&gt;"",$F29&gt;EDATE(TODAY(),12))</formula>
    </cfRule>
  </conditionalFormatting>
  <conditionalFormatting sqref="I30">
    <cfRule type="expression" dxfId="35" priority="3">
      <formula>AND($F30&lt;&gt;"",$F30&gt;EDATE(TODAY(),12))</formula>
    </cfRule>
  </conditionalFormatting>
  <conditionalFormatting sqref="I29">
    <cfRule type="expression" dxfId="34" priority="2">
      <formula>AND($F29&lt;&gt;"",$F29&gt;EDATE(TODAY(),12))</formula>
    </cfRule>
  </conditionalFormatting>
  <conditionalFormatting sqref="D17">
    <cfRule type="expression" dxfId="33" priority="1">
      <formula>AND($D17&lt;&gt;"",$D17&gt;EDATE(TODAY(),12))</formula>
    </cfRule>
  </conditionalFormatting>
  <dataValidations disablePrompts="1" count="1">
    <dataValidation type="list" allowBlank="1" sqref="B2">
      <formula1>통화설정!$A$2:$A$13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R46"/>
  <sheetViews>
    <sheetView zoomScaleNormal="100" workbookViewId="0">
      <selection activeCell="E29" sqref="E29:G32"/>
    </sheetView>
  </sheetViews>
  <sheetFormatPr defaultColWidth="8.5" defaultRowHeight="16.5"/>
  <cols>
    <col min="1" max="1" width="18.625" style="1" customWidth="1"/>
    <col min="2" max="2" width="8.625" style="1" customWidth="1"/>
    <col min="3" max="3" width="7.5" style="1" customWidth="1"/>
    <col min="4" max="4" width="11.875" style="1" customWidth="1"/>
    <col min="5" max="5" width="5.625" style="1" customWidth="1"/>
    <col min="6" max="6" width="11" style="1" customWidth="1"/>
    <col min="7" max="7" width="10.375" style="1" customWidth="1"/>
    <col min="8" max="8" width="12.625" style="1" customWidth="1"/>
    <col min="9" max="9" width="12.25" style="1" customWidth="1"/>
    <col min="10" max="10" width="10.375" style="1" customWidth="1"/>
    <col min="11" max="11" width="12" style="1" customWidth="1"/>
    <col min="12" max="12" width="11.125" style="1" customWidth="1"/>
    <col min="13" max="13" width="9.875" style="1" customWidth="1"/>
    <col min="14" max="14" width="9" customWidth="1"/>
  </cols>
  <sheetData>
    <row r="1" spans="1:18" ht="16.5" customHeight="1">
      <c r="A1" s="2" t="s">
        <v>0</v>
      </c>
      <c r="B1" s="3"/>
      <c r="C1" s="125"/>
      <c r="D1" s="125"/>
      <c r="E1" s="125"/>
      <c r="F1" s="125"/>
      <c r="G1" s="125"/>
      <c r="H1" s="125"/>
      <c r="I1" s="125"/>
      <c r="J1" s="125"/>
      <c r="K1" s="125"/>
      <c r="L1" s="3"/>
      <c r="M1" s="3"/>
      <c r="N1" s="3"/>
      <c r="O1" s="3"/>
      <c r="P1" s="3"/>
      <c r="Q1" s="3"/>
      <c r="R1" s="3"/>
    </row>
    <row r="2" spans="1:18" ht="17.25" customHeight="1" thickBot="1">
      <c r="A2" s="4" t="s">
        <v>1</v>
      </c>
      <c r="B2" s="5" t="s">
        <v>57</v>
      </c>
      <c r="C2" s="126"/>
      <c r="D2" s="126"/>
      <c r="E2" s="126"/>
      <c r="F2" s="126"/>
      <c r="G2" s="126"/>
      <c r="H2" s="126"/>
      <c r="I2" s="126"/>
      <c r="J2" s="126"/>
      <c r="K2" s="126"/>
      <c r="L2" s="6"/>
      <c r="M2" s="6"/>
      <c r="N2" s="3"/>
      <c r="O2" s="3"/>
      <c r="P2" s="3"/>
      <c r="Q2" s="3"/>
      <c r="R2" s="3"/>
    </row>
    <row r="3" spans="1:18" ht="17.25" customHeight="1" thickBot="1">
      <c r="A3" s="3" t="s">
        <v>3</v>
      </c>
      <c r="B3" s="7">
        <v>1336</v>
      </c>
      <c r="C3" s="8"/>
      <c r="D3" s="127" t="s">
        <v>4</v>
      </c>
      <c r="E3" s="127"/>
      <c r="F3" s="9" t="s">
        <v>5</v>
      </c>
      <c r="G3" s="10" t="s">
        <v>6</v>
      </c>
      <c r="H3" s="11" t="s">
        <v>7</v>
      </c>
      <c r="I3" s="76" t="s">
        <v>83</v>
      </c>
      <c r="J3" s="12" t="s">
        <v>8</v>
      </c>
      <c r="K3" s="13" t="s">
        <v>9</v>
      </c>
      <c r="L3" s="6"/>
      <c r="M3" s="6"/>
      <c r="N3" s="3"/>
      <c r="O3" s="3"/>
      <c r="P3" s="3"/>
      <c r="Q3" s="3"/>
      <c r="R3" s="3"/>
    </row>
    <row r="4" spans="1:18" ht="16.5" customHeight="1" thickBot="1">
      <c r="A4" s="4" t="s">
        <v>10</v>
      </c>
      <c r="B4" s="14">
        <v>6.7051999999999996</v>
      </c>
      <c r="C4" s="128" t="s">
        <v>11</v>
      </c>
      <c r="D4" s="66">
        <f>'인디가격2(JPY)'!D4</f>
        <v>46308</v>
      </c>
      <c r="E4" s="15" t="s">
        <v>12</v>
      </c>
      <c r="F4" s="16">
        <f>'인디가격(EUR)'!F4</f>
        <v>-35</v>
      </c>
      <c r="G4" s="16"/>
      <c r="H4" s="17">
        <f t="shared" ref="H4:H15" si="0">IF(F4="","",F4+G4)</f>
        <v>-35</v>
      </c>
      <c r="I4" s="16"/>
      <c r="J4" s="18" t="str">
        <f t="shared" ref="J4:J15" si="1">IF($F4="","",IF($B$2="","",IF($B$2="USD/KRW",H4,IF(OR($B$3="",$B$4="",$I4=""),"",IF($B$6="곱셈",ROUNDDOWN(($B$3+H4/100)*($B$4+$I4/$B$7),$B$8)-ROUNDDOWN($B$3*$B$4,$B$8),ROUNDDOWN(($B$3+H4/100)/($B$4+$I4/$B$7),$B$8)-ROUNDDOWN($B$3/$B$4,$B$8))*$B$9))))</f>
        <v/>
      </c>
      <c r="K4" s="19" t="str">
        <f t="shared" ref="K4:K15" ca="1" si="2">IF(OR(J4="",$B$10="",D4=""),"",IF(ABS(J4-($B$10/100)*IF($B$2="USD/KRW",$B$3*100,IF($B$6="곱셈",$B$3*$B$4,$B$3/$B$4)*$B$9)*(YEARFRAC(TODAY(),D4,1)))&gt;MAX(ABS(($B$10/100)*IF($B$2="USD/KRW",$B$3*100,IF($B$6="곱셈",$B$3*$B$4,$B$3/$B$4)*$B$9)*(YEARFRAC(TODAY(),D4,1)))*0.5,IF($B$2="USD/KRW",30,2)),"⚠ 입력확인(이론가 "&amp;ROUND(($B$10/100)*IF($B$2="USD/KRW",$B$3*100,IF($B$6="곱셈",$B$3*$B$4,$B$3/$B$4)*$B$9)*(YEARFRAC(TODAY(),D4,1)),1)&amp;")",""))</f>
        <v/>
      </c>
      <c r="L4" s="6"/>
      <c r="M4" s="6"/>
      <c r="N4" s="3"/>
      <c r="O4" s="3"/>
      <c r="P4" s="3"/>
      <c r="Q4" s="3"/>
      <c r="R4" s="3"/>
    </row>
    <row r="5" spans="1:18" ht="17.25" customHeight="1" thickBot="1">
      <c r="A5" s="75" t="s">
        <v>82</v>
      </c>
      <c r="B5" s="74">
        <f>IF(OR($B$2="",$B$3=""),"",IF($B$2="USD/KRW",$B$3,IF($B$4="","",ROUNDDOWN(IF($B$6="곱셈",$B$3*$B$4,$B$3/$B$4),$B$8)*$B$9/IF($B$2="JPY/KRW",100,1))))</f>
        <v>199.24</v>
      </c>
      <c r="C5" s="128"/>
      <c r="D5" s="66">
        <f>'인디가격2(JPY)'!D5</f>
        <v>46338</v>
      </c>
      <c r="E5" s="21" t="s">
        <v>14</v>
      </c>
      <c r="F5" s="16">
        <f>'인디가격(EUR)'!F5</f>
        <v>-85</v>
      </c>
      <c r="G5" s="16"/>
      <c r="H5" s="17">
        <f t="shared" si="0"/>
        <v>-85</v>
      </c>
      <c r="I5" s="16"/>
      <c r="J5" s="18" t="str">
        <f t="shared" si="1"/>
        <v/>
      </c>
      <c r="K5" s="19" t="str">
        <f t="shared" ca="1" si="2"/>
        <v/>
      </c>
      <c r="L5" s="6"/>
      <c r="M5" s="6"/>
      <c r="N5" s="3"/>
      <c r="O5" s="3"/>
      <c r="P5" s="3"/>
      <c r="Q5" s="3"/>
      <c r="R5" s="3"/>
    </row>
    <row r="6" spans="1:18" ht="17.25" customHeight="1" thickBot="1">
      <c r="A6" s="20" t="s">
        <v>13</v>
      </c>
      <c r="B6" s="20" t="str">
        <f>IFERROR(INDEX(통화설정!$B$2:$B$13,MATCH($B$2,통화설정!$A$2:$A$13,0)),"")</f>
        <v>나눗셈</v>
      </c>
      <c r="C6" s="128"/>
      <c r="D6" s="66">
        <f>'인디가격2(JPY)'!D6</f>
        <v>46367</v>
      </c>
      <c r="E6" s="21" t="s">
        <v>16</v>
      </c>
      <c r="F6" s="16">
        <f>'인디가격(EUR)'!F6</f>
        <v>-150</v>
      </c>
      <c r="G6" s="16"/>
      <c r="H6" s="17">
        <f t="shared" si="0"/>
        <v>-150</v>
      </c>
      <c r="I6" s="16"/>
      <c r="J6" s="18" t="str">
        <f t="shared" si="1"/>
        <v/>
      </c>
      <c r="K6" s="19" t="str">
        <f t="shared" ca="1" si="2"/>
        <v/>
      </c>
      <c r="L6" s="6"/>
      <c r="M6" s="6"/>
      <c r="N6" s="3"/>
      <c r="O6" s="3"/>
      <c r="P6" s="3"/>
      <c r="Q6" s="3"/>
      <c r="R6" s="3"/>
    </row>
    <row r="7" spans="1:18" ht="17.25" customHeight="1" thickBot="1">
      <c r="A7" s="20" t="s">
        <v>15</v>
      </c>
      <c r="B7" s="20">
        <f>IFERROR(INDEX(통화설정!$C$2:$C$13,MATCH($B$2,통화설정!$A$2:$A$13,0)),"")</f>
        <v>10000</v>
      </c>
      <c r="C7" s="128"/>
      <c r="D7" s="66">
        <f>'인디가격2(JPY)'!D7</f>
        <v>46398</v>
      </c>
      <c r="E7" s="21" t="s">
        <v>18</v>
      </c>
      <c r="F7" s="16">
        <f>'인디가격(EUR)'!F7</f>
        <v>-240</v>
      </c>
      <c r="G7" s="16"/>
      <c r="H7" s="17">
        <f t="shared" si="0"/>
        <v>-240</v>
      </c>
      <c r="I7" s="16"/>
      <c r="J7" s="18" t="str">
        <f t="shared" si="1"/>
        <v/>
      </c>
      <c r="K7" s="19" t="str">
        <f t="shared" ca="1" si="2"/>
        <v/>
      </c>
      <c r="L7" s="6"/>
      <c r="M7" s="6"/>
      <c r="N7" s="3"/>
      <c r="O7" s="3"/>
      <c r="P7" s="3"/>
      <c r="Q7" s="3"/>
      <c r="R7" s="3"/>
    </row>
    <row r="8" spans="1:18" ht="17.25" customHeight="1" thickBot="1">
      <c r="A8" s="20" t="s">
        <v>17</v>
      </c>
      <c r="B8" s="20">
        <f>IFERROR(INDEX(통화설정!$D$2:$D$13,MATCH($B$2,통화설정!$A$2:$A$13,0)),"")</f>
        <v>2</v>
      </c>
      <c r="C8" s="128"/>
      <c r="D8" s="66">
        <f>'인디가격2(JPY)'!D8</f>
        <v>46429</v>
      </c>
      <c r="E8" s="21" t="s">
        <v>20</v>
      </c>
      <c r="F8" s="16">
        <f>'인디가격(EUR)'!F8</f>
        <v>-329</v>
      </c>
      <c r="G8" s="16"/>
      <c r="H8" s="17">
        <f t="shared" si="0"/>
        <v>-329</v>
      </c>
      <c r="I8" s="16"/>
      <c r="J8" s="18" t="str">
        <f t="shared" si="1"/>
        <v/>
      </c>
      <c r="K8" s="19" t="str">
        <f t="shared" ca="1" si="2"/>
        <v/>
      </c>
      <c r="L8" s="6"/>
      <c r="M8" s="6"/>
      <c r="N8" s="3"/>
      <c r="O8" s="3"/>
      <c r="P8" s="3"/>
      <c r="Q8" s="3"/>
      <c r="R8" s="3"/>
    </row>
    <row r="9" spans="1:18" ht="17.25" customHeight="1" thickBot="1">
      <c r="A9" s="20" t="s">
        <v>19</v>
      </c>
      <c r="B9" s="20">
        <f>IFERROR(INDEX(통화설정!$E$2:$E$13,MATCH($B$2,통화설정!$A$2:$A$13,0)),"")</f>
        <v>1</v>
      </c>
      <c r="C9" s="128"/>
      <c r="D9" s="66">
        <f>'인디가격2(JPY)'!D9</f>
        <v>46457</v>
      </c>
      <c r="E9" s="21" t="s">
        <v>22</v>
      </c>
      <c r="F9" s="16">
        <f>'인디가격(EUR)'!F9</f>
        <v>-410</v>
      </c>
      <c r="G9" s="16"/>
      <c r="H9" s="17">
        <f t="shared" si="0"/>
        <v>-410</v>
      </c>
      <c r="I9" s="16"/>
      <c r="J9" s="18" t="str">
        <f t="shared" si="1"/>
        <v/>
      </c>
      <c r="K9" s="19" t="str">
        <f t="shared" ca="1" si="2"/>
        <v/>
      </c>
      <c r="L9" s="6"/>
      <c r="M9" s="6"/>
      <c r="N9" s="3"/>
      <c r="O9" s="3"/>
      <c r="P9" s="3"/>
      <c r="Q9" s="3"/>
      <c r="R9" s="3"/>
    </row>
    <row r="10" spans="1:18" ht="17.25" customHeight="1" thickBot="1">
      <c r="A10" s="22" t="s">
        <v>21</v>
      </c>
      <c r="B10" s="23">
        <f>IFERROR(통화설정!$H$2-INDEX(통화설정!$G$2:$G$13,MATCH($B$2,통화설정!$A$2:$A$13,0)),"")</f>
        <v>1.6</v>
      </c>
      <c r="C10" s="128"/>
      <c r="D10" s="66">
        <f>'인디가격2(JPY)'!D10</f>
        <v>46489</v>
      </c>
      <c r="E10" s="21" t="s">
        <v>24</v>
      </c>
      <c r="F10" s="16">
        <f>'인디가격(EUR)'!F10</f>
        <v>-504</v>
      </c>
      <c r="G10" s="16"/>
      <c r="H10" s="17">
        <f t="shared" si="0"/>
        <v>-504</v>
      </c>
      <c r="I10" s="16"/>
      <c r="J10" s="18" t="str">
        <f t="shared" si="1"/>
        <v/>
      </c>
      <c r="K10" s="19" t="str">
        <f t="shared" ca="1" si="2"/>
        <v/>
      </c>
      <c r="L10" s="3"/>
      <c r="M10" s="3"/>
      <c r="N10" s="3"/>
      <c r="O10" s="3"/>
      <c r="P10" s="3"/>
      <c r="Q10" s="3"/>
      <c r="R10" s="3"/>
    </row>
    <row r="11" spans="1:18" ht="17.25" customHeight="1" thickBot="1">
      <c r="A11" s="24" t="s">
        <v>23</v>
      </c>
      <c r="B11" s="25">
        <v>15</v>
      </c>
      <c r="C11" s="128"/>
      <c r="D11" s="66">
        <f>'인디가격2(JPY)'!D11</f>
        <v>46518</v>
      </c>
      <c r="E11" s="21" t="s">
        <v>26</v>
      </c>
      <c r="F11" s="16">
        <f>'인디가격(EUR)'!F11</f>
        <v>-589</v>
      </c>
      <c r="G11" s="16"/>
      <c r="H11" s="17">
        <f t="shared" si="0"/>
        <v>-589</v>
      </c>
      <c r="I11" s="16"/>
      <c r="J11" s="18" t="str">
        <f t="shared" si="1"/>
        <v/>
      </c>
      <c r="K11" s="19" t="str">
        <f t="shared" ca="1" si="2"/>
        <v/>
      </c>
      <c r="L11" s="26"/>
      <c r="M11" s="3"/>
      <c r="N11" s="3"/>
      <c r="O11" s="3"/>
      <c r="P11" s="3"/>
      <c r="Q11" s="3"/>
      <c r="R11" s="3"/>
    </row>
    <row r="12" spans="1:18" ht="17.25" customHeight="1" thickBot="1">
      <c r="A12" s="24" t="s">
        <v>25</v>
      </c>
      <c r="B12" s="25">
        <v>8</v>
      </c>
      <c r="C12" s="128"/>
      <c r="D12" s="66">
        <f>'인디가격2(JPY)'!D12</f>
        <v>46549</v>
      </c>
      <c r="E12" s="21" t="s">
        <v>28</v>
      </c>
      <c r="F12" s="16">
        <f>'인디가격(EUR)'!F12</f>
        <v>-680</v>
      </c>
      <c r="G12" s="16"/>
      <c r="H12" s="17">
        <f t="shared" si="0"/>
        <v>-680</v>
      </c>
      <c r="I12" s="16"/>
      <c r="J12" s="18" t="str">
        <f t="shared" si="1"/>
        <v/>
      </c>
      <c r="K12" s="19" t="str">
        <f t="shared" ca="1" si="2"/>
        <v/>
      </c>
      <c r="L12" s="27"/>
      <c r="M12" s="3"/>
      <c r="N12" s="3"/>
      <c r="O12" s="3"/>
      <c r="P12" s="3"/>
      <c r="Q12" s="3"/>
      <c r="R12" s="3"/>
    </row>
    <row r="13" spans="1:18" ht="17.25" customHeight="1" thickBot="1">
      <c r="A13" s="24" t="s">
        <v>27</v>
      </c>
      <c r="B13" s="25">
        <v>12</v>
      </c>
      <c r="C13" s="128"/>
      <c r="D13" s="66">
        <f>'인디가격2(JPY)'!D13</f>
        <v>46580</v>
      </c>
      <c r="E13" s="21" t="s">
        <v>30</v>
      </c>
      <c r="F13" s="16">
        <f>'인디가격(EUR)'!F13</f>
        <v>-753</v>
      </c>
      <c r="G13" s="16"/>
      <c r="H13" s="17">
        <f t="shared" si="0"/>
        <v>-753</v>
      </c>
      <c r="I13" s="16"/>
      <c r="J13" s="18" t="str">
        <f t="shared" si="1"/>
        <v/>
      </c>
      <c r="K13" s="19" t="str">
        <f t="shared" ca="1" si="2"/>
        <v/>
      </c>
      <c r="L13" s="27"/>
      <c r="M13" s="3"/>
      <c r="N13" s="3"/>
      <c r="O13" s="3"/>
      <c r="P13" s="3"/>
      <c r="Q13" s="3"/>
      <c r="R13" s="3"/>
    </row>
    <row r="14" spans="1:18" ht="17.25" customHeight="1" thickBot="1">
      <c r="A14" s="24" t="s">
        <v>29</v>
      </c>
      <c r="B14" s="25">
        <v>8</v>
      </c>
      <c r="C14" s="128"/>
      <c r="D14" s="66">
        <f>'인디가격2(JPY)'!D14</f>
        <v>46610</v>
      </c>
      <c r="E14" s="28" t="s">
        <v>32</v>
      </c>
      <c r="F14" s="16">
        <f>'인디가격(EUR)'!F14</f>
        <v>-823</v>
      </c>
      <c r="G14" s="16"/>
      <c r="H14" s="17">
        <f t="shared" si="0"/>
        <v>-823</v>
      </c>
      <c r="I14" s="16"/>
      <c r="J14" s="18" t="str">
        <f t="shared" si="1"/>
        <v/>
      </c>
      <c r="K14" s="19" t="str">
        <f t="shared" ca="1" si="2"/>
        <v/>
      </c>
      <c r="L14" s="27"/>
      <c r="M14" s="3"/>
      <c r="N14" s="3"/>
      <c r="O14" s="3"/>
      <c r="P14" s="3"/>
      <c r="Q14" s="3"/>
      <c r="R14" s="3"/>
    </row>
    <row r="15" spans="1:18" ht="17.25" customHeight="1" thickBot="1">
      <c r="A15" s="24" t="s">
        <v>31</v>
      </c>
      <c r="B15" s="25">
        <v>13</v>
      </c>
      <c r="C15" s="128"/>
      <c r="D15" s="66">
        <f>'인디가격2(JPY)'!D15</f>
        <v>46643</v>
      </c>
      <c r="E15" s="29" t="s">
        <v>34</v>
      </c>
      <c r="F15" s="16">
        <f>'인디가격(EUR)'!F15</f>
        <v>-900</v>
      </c>
      <c r="G15" s="16"/>
      <c r="H15" s="30">
        <f t="shared" si="0"/>
        <v>-900</v>
      </c>
      <c r="I15" s="16"/>
      <c r="J15" s="31" t="str">
        <f t="shared" si="1"/>
        <v/>
      </c>
      <c r="K15" s="19" t="str">
        <f t="shared" ca="1" si="2"/>
        <v/>
      </c>
      <c r="L15" s="27"/>
      <c r="M15" s="3"/>
      <c r="N15" s="3"/>
      <c r="O15" s="3"/>
      <c r="P15" s="3"/>
      <c r="Q15" s="3"/>
      <c r="R15" s="3"/>
    </row>
    <row r="16" spans="1:18" ht="17.25" customHeight="1" thickBot="1">
      <c r="A16" s="24" t="s">
        <v>33</v>
      </c>
      <c r="B16" s="25">
        <v>5</v>
      </c>
      <c r="C16" s="32"/>
      <c r="D16" s="3"/>
      <c r="E16" s="3"/>
      <c r="F16" s="3"/>
      <c r="G16" s="3"/>
      <c r="H16" s="3"/>
      <c r="I16" s="3"/>
      <c r="J16" s="33"/>
      <c r="K16" s="34"/>
      <c r="L16" s="3"/>
      <c r="M16" s="3"/>
      <c r="N16" s="3"/>
      <c r="O16" s="3"/>
      <c r="P16" s="3"/>
      <c r="Q16" s="3"/>
      <c r="R16" s="3"/>
    </row>
    <row r="17" spans="1:18" ht="16.5" customHeight="1" thickBot="1">
      <c r="A17" s="24" t="s">
        <v>35</v>
      </c>
      <c r="B17" s="25">
        <v>15</v>
      </c>
      <c r="C17" s="129" t="s">
        <v>36</v>
      </c>
      <c r="D17" s="69">
        <v>46308</v>
      </c>
      <c r="E17" s="46" t="str">
        <f t="shared" ref="E17:E27" ca="1" si="3">IF(D17="","",ROUND(YEARFRAC(TODAY(),D17,1)*12,0)&amp;"M")</f>
        <v>1M</v>
      </c>
      <c r="F17" s="16">
        <v>-30</v>
      </c>
      <c r="G17" s="16">
        <v>-9</v>
      </c>
      <c r="H17" s="36">
        <f t="shared" ref="H17:H27" si="4">IF(F17="","",F17+G17)</f>
        <v>-39</v>
      </c>
      <c r="I17" s="16">
        <v>-149.91</v>
      </c>
      <c r="J17" s="37">
        <f t="shared" ref="J17:J27" si="5">IF($F17="","",IF($B$2="","",IF($B$2="USD/KRW",H17,IF(OR($B$3="",$B$4="",$I17=""),"",IF($B$6="곱셈",ROUNDDOWN(($B$3+H17/100)*($B$4+$I17/$B$7),$B$8)-ROUNDDOWN($B$3*$B$4,$B$8),ROUNDDOWN(($B$3+H17/100)/($B$4+$I17/$B$7),$B$8)-ROUNDDOWN($B$3/$B$4,$B$8))*$B$9))))</f>
        <v>0.38999999999998636</v>
      </c>
      <c r="K17" s="19" t="str">
        <f t="shared" ref="K17:K27" ca="1" si="6">IF(OR(J17="",$B$10="",D17=""),"",IF(ABS(J17-($B$10/100)*IF($B$2="USD/KRW",$B$3*100,IF($B$6="곱셈",$B$3*$B$4,$B$3/$B$4)*$B$9)*(YEARFRAC(TODAY(),D17,1)))&gt;MAX(ABS(($B$10/100)*IF($B$2="USD/KRW",$B$3*100,IF($B$6="곱셈",$B$3*$B$4,$B$3/$B$4)*$B$9)*(YEARFRAC(TODAY(),D17,1)))*0.5,IF($B$2="USD/KRW",30,2)),"⚠ 입력확인(이론가 "&amp;ROUND(($B$10/100)*IF($B$2="USD/KRW",$B$3*100,IF($B$6="곱셈",$B$3*$B$4,$B$3/$B$4)*$B$9)*(YEARFRAC(TODAY(),D17,1)),1)&amp;")",""))</f>
        <v/>
      </c>
      <c r="L17" s="3"/>
      <c r="M17" s="3"/>
      <c r="N17" s="3"/>
      <c r="O17" s="3"/>
      <c r="P17" s="3"/>
      <c r="Q17" s="3"/>
      <c r="R17" s="3"/>
    </row>
    <row r="18" spans="1:18" ht="17.25" customHeight="1" thickBot="1">
      <c r="A18" s="35" t="s">
        <v>86</v>
      </c>
      <c r="B18" s="25"/>
      <c r="C18" s="129"/>
      <c r="D18" s="69">
        <v>46338</v>
      </c>
      <c r="E18" s="46" t="str">
        <f t="shared" ca="1" si="3"/>
        <v>2M</v>
      </c>
      <c r="F18" s="16">
        <v>-85</v>
      </c>
      <c r="G18" s="16">
        <v>-18</v>
      </c>
      <c r="H18" s="17">
        <f t="shared" si="4"/>
        <v>-103</v>
      </c>
      <c r="I18" s="16">
        <v>-291.04000000000002</v>
      </c>
      <c r="J18" s="18">
        <f>IF($F18="","",IF($B$2="","",IF($B$2="USD/KRW",H18,IF(OR($B$3="",$B$4="",$I18=""),"",IF($B$6="곱셈",ROUNDDOWN(($B$3+H18/100)*($B$4+$I18/$B$7),$B$8)-ROUNDDOWN($B$3*$B$4,$B$8),ROUNDDOWN(($B$3+H18/100)/($B$4+$I18/$B$7),$B$8)-ROUNDDOWN($B$3/$B$4,$B$8))*$B$9))))</f>
        <v>0.71999999999999886</v>
      </c>
      <c r="K18" s="19" t="str">
        <f t="shared" ca="1" si="6"/>
        <v/>
      </c>
      <c r="L18" s="3"/>
      <c r="M18" s="3"/>
      <c r="N18" s="3"/>
      <c r="O18" s="3"/>
      <c r="P18" s="3"/>
      <c r="Q18" s="3"/>
      <c r="R18" s="3"/>
    </row>
    <row r="19" spans="1:18" ht="17.25" customHeight="1" thickBot="1">
      <c r="A19" s="24" t="s">
        <v>37</v>
      </c>
      <c r="B19" s="25">
        <v>10</v>
      </c>
      <c r="C19" s="129"/>
      <c r="D19" s="69">
        <v>46367</v>
      </c>
      <c r="E19" s="46" t="str">
        <f t="shared" ca="1" si="3"/>
        <v>3M</v>
      </c>
      <c r="F19" s="16">
        <v>-150</v>
      </c>
      <c r="G19" s="16">
        <v>-27</v>
      </c>
      <c r="H19" s="17">
        <f t="shared" si="4"/>
        <v>-177</v>
      </c>
      <c r="I19" s="16">
        <v>-429.1</v>
      </c>
      <c r="J19" s="18">
        <f t="shared" si="5"/>
        <v>1.0199999999999818</v>
      </c>
      <c r="K19" s="19" t="str">
        <f t="shared" ca="1" si="6"/>
        <v/>
      </c>
      <c r="L19" s="3"/>
      <c r="M19" s="3"/>
      <c r="N19" s="3"/>
      <c r="O19" s="3"/>
      <c r="P19" s="3"/>
      <c r="Q19" s="3"/>
      <c r="R19" s="3"/>
    </row>
    <row r="20" spans="1:18" ht="17.25" customHeight="1" thickBot="1">
      <c r="A20" s="24" t="s">
        <v>38</v>
      </c>
      <c r="B20" s="25">
        <v>7</v>
      </c>
      <c r="C20" s="129"/>
      <c r="D20" s="69">
        <v>46398</v>
      </c>
      <c r="E20" s="46" t="str">
        <f t="shared" ca="1" si="3"/>
        <v>4M</v>
      </c>
      <c r="F20" s="16">
        <v>-243</v>
      </c>
      <c r="G20" s="16">
        <v>-36</v>
      </c>
      <c r="H20" s="17">
        <f t="shared" si="4"/>
        <v>-279</v>
      </c>
      <c r="I20" s="16">
        <v>-585.11</v>
      </c>
      <c r="J20" s="18">
        <f t="shared" si="5"/>
        <v>1.3400000000000034</v>
      </c>
      <c r="K20" s="19" t="str">
        <f t="shared" ca="1" si="6"/>
        <v/>
      </c>
      <c r="L20" s="3"/>
      <c r="M20" s="3"/>
      <c r="N20" s="3"/>
      <c r="O20" s="3"/>
      <c r="P20" s="3"/>
      <c r="Q20" s="3"/>
      <c r="R20" s="3"/>
    </row>
    <row r="21" spans="1:18" ht="17.25" customHeight="1" thickBot="1">
      <c r="A21" s="24" t="s">
        <v>39</v>
      </c>
      <c r="B21" s="25"/>
      <c r="C21" s="129"/>
      <c r="D21" s="69"/>
      <c r="E21" s="46" t="str">
        <f t="shared" ca="1" si="3"/>
        <v/>
      </c>
      <c r="F21" s="16"/>
      <c r="G21" s="16"/>
      <c r="H21" s="17" t="str">
        <f t="shared" si="4"/>
        <v/>
      </c>
      <c r="I21" s="16"/>
      <c r="J21" s="18" t="str">
        <f t="shared" si="5"/>
        <v/>
      </c>
      <c r="K21" s="19" t="str">
        <f t="shared" ca="1" si="6"/>
        <v/>
      </c>
      <c r="L21" s="3"/>
      <c r="M21" s="3"/>
      <c r="N21" s="3"/>
      <c r="O21" s="3"/>
      <c r="P21" s="3"/>
      <c r="Q21" s="3"/>
      <c r="R21" s="3"/>
    </row>
    <row r="22" spans="1:18" ht="17.25" customHeight="1" thickBot="1">
      <c r="A22" s="24" t="s">
        <v>40</v>
      </c>
      <c r="B22" s="25">
        <v>10</v>
      </c>
      <c r="C22" s="129"/>
      <c r="D22" s="69"/>
      <c r="E22" s="46" t="str">
        <f t="shared" ca="1" si="3"/>
        <v/>
      </c>
      <c r="F22" s="16"/>
      <c r="G22" s="16"/>
      <c r="H22" s="17" t="str">
        <f t="shared" si="4"/>
        <v/>
      </c>
      <c r="I22" s="16"/>
      <c r="J22" s="18" t="str">
        <f t="shared" si="5"/>
        <v/>
      </c>
      <c r="K22" s="19" t="str">
        <f t="shared" ca="1" si="6"/>
        <v/>
      </c>
      <c r="L22" s="3"/>
      <c r="M22" s="3"/>
      <c r="N22" s="3"/>
      <c r="O22" s="3"/>
      <c r="P22" s="3"/>
      <c r="Q22" s="3"/>
      <c r="R22" s="3"/>
    </row>
    <row r="23" spans="1:18" ht="17.25" customHeight="1" thickBot="1">
      <c r="A23" s="24" t="s">
        <v>41</v>
      </c>
      <c r="B23" s="25">
        <v>10</v>
      </c>
      <c r="C23" s="129"/>
      <c r="D23" s="69"/>
      <c r="E23" s="46" t="str">
        <f t="shared" ca="1" si="3"/>
        <v/>
      </c>
      <c r="F23" s="16"/>
      <c r="G23" s="16"/>
      <c r="H23" s="17" t="str">
        <f t="shared" si="4"/>
        <v/>
      </c>
      <c r="I23" s="16"/>
      <c r="J23" s="18" t="str">
        <f t="shared" si="5"/>
        <v/>
      </c>
      <c r="K23" s="19" t="str">
        <f t="shared" ca="1" si="6"/>
        <v/>
      </c>
      <c r="L23" s="3"/>
      <c r="M23" s="3"/>
      <c r="N23" s="3"/>
      <c r="O23" s="3"/>
      <c r="P23" s="3"/>
      <c r="Q23" s="3"/>
      <c r="R23" s="3"/>
    </row>
    <row r="24" spans="1:18" ht="17.25" customHeight="1" thickBot="1">
      <c r="A24" s="35" t="s">
        <v>42</v>
      </c>
      <c r="B24" s="25">
        <v>10</v>
      </c>
      <c r="C24" s="129"/>
      <c r="D24" s="69"/>
      <c r="E24" s="46" t="str">
        <f t="shared" ca="1" si="3"/>
        <v/>
      </c>
      <c r="F24" s="16"/>
      <c r="G24" s="16"/>
      <c r="H24" s="17" t="str">
        <f t="shared" si="4"/>
        <v/>
      </c>
      <c r="I24" s="16"/>
      <c r="J24" s="18" t="str">
        <f t="shared" si="5"/>
        <v/>
      </c>
      <c r="K24" s="19" t="str">
        <f t="shared" ca="1" si="6"/>
        <v/>
      </c>
      <c r="L24" s="3"/>
      <c r="M24" s="3"/>
      <c r="N24" s="3"/>
      <c r="O24" s="3"/>
      <c r="P24" s="3"/>
      <c r="Q24" s="3"/>
      <c r="R24" s="3"/>
    </row>
    <row r="25" spans="1:18" ht="17.25" customHeight="1" thickBot="1">
      <c r="A25" s="24" t="s">
        <v>43</v>
      </c>
      <c r="B25" s="25"/>
      <c r="C25" s="129"/>
      <c r="D25" s="69"/>
      <c r="E25" s="46" t="str">
        <f t="shared" ca="1" si="3"/>
        <v/>
      </c>
      <c r="F25" s="16"/>
      <c r="G25" s="16"/>
      <c r="H25" s="17" t="str">
        <f t="shared" si="4"/>
        <v/>
      </c>
      <c r="I25" s="16"/>
      <c r="J25" s="18" t="str">
        <f t="shared" si="5"/>
        <v/>
      </c>
      <c r="K25" s="19" t="str">
        <f t="shared" ca="1" si="6"/>
        <v/>
      </c>
      <c r="L25" s="3"/>
      <c r="M25" s="3"/>
      <c r="N25" s="3"/>
      <c r="O25" s="3"/>
      <c r="P25" s="3"/>
      <c r="Q25" s="3"/>
      <c r="R25" s="3"/>
    </row>
    <row r="26" spans="1:18" ht="17.25" customHeight="1" thickBot="1">
      <c r="A26" s="24" t="s">
        <v>44</v>
      </c>
      <c r="B26" s="25">
        <v>5</v>
      </c>
      <c r="C26" s="129"/>
      <c r="D26" s="69"/>
      <c r="E26" s="46" t="str">
        <f t="shared" ca="1" si="3"/>
        <v/>
      </c>
      <c r="F26" s="16"/>
      <c r="G26" s="16"/>
      <c r="H26" s="17" t="str">
        <f t="shared" si="4"/>
        <v/>
      </c>
      <c r="I26" s="16"/>
      <c r="J26" s="18" t="str">
        <f t="shared" si="5"/>
        <v/>
      </c>
      <c r="K26" s="19" t="str">
        <f t="shared" ca="1" si="6"/>
        <v/>
      </c>
      <c r="L26" s="3"/>
      <c r="M26" s="3"/>
      <c r="N26" s="3"/>
      <c r="O26" s="3"/>
      <c r="P26" s="3"/>
      <c r="Q26" s="3"/>
      <c r="R26" s="3"/>
    </row>
    <row r="27" spans="1:18" ht="17.25" customHeight="1" thickBot="1">
      <c r="A27" s="24" t="s">
        <v>45</v>
      </c>
      <c r="B27" s="25" t="s">
        <v>46</v>
      </c>
      <c r="C27" s="129"/>
      <c r="D27" s="111">
        <f>D17</f>
        <v>46308</v>
      </c>
      <c r="E27" s="112" t="str">
        <f t="shared" ca="1" si="3"/>
        <v>1M</v>
      </c>
      <c r="F27" s="113">
        <f>F17</f>
        <v>-30</v>
      </c>
      <c r="G27" s="113">
        <v>-10000</v>
      </c>
      <c r="H27" s="114">
        <f t="shared" si="4"/>
        <v>-10030</v>
      </c>
      <c r="I27" s="113">
        <f>I17</f>
        <v>-149.91</v>
      </c>
      <c r="J27" s="115">
        <f t="shared" si="5"/>
        <v>-14.54000000000002</v>
      </c>
      <c r="K27" s="116" t="str">
        <f t="shared" ca="1" si="6"/>
        <v>⚠ 입력확인(이론가 0.3)</v>
      </c>
      <c r="L27" s="3"/>
      <c r="M27" s="3"/>
      <c r="N27" s="3"/>
      <c r="O27" s="3"/>
      <c r="P27" s="3"/>
      <c r="Q27" s="3"/>
      <c r="R27" s="3"/>
    </row>
    <row r="28" spans="1:18" ht="21" customHeight="1" thickBot="1">
      <c r="A28" s="35" t="s">
        <v>47</v>
      </c>
      <c r="B28" s="25">
        <v>5</v>
      </c>
      <c r="C28" s="3"/>
      <c r="D28" s="3"/>
      <c r="E28" s="3"/>
      <c r="F28" s="77" t="s">
        <v>85</v>
      </c>
      <c r="G28" s="38" t="s">
        <v>48</v>
      </c>
      <c r="H28" s="39"/>
      <c r="I28" s="77" t="s">
        <v>85</v>
      </c>
      <c r="J28" s="40" t="s">
        <v>8</v>
      </c>
      <c r="K28" s="3"/>
      <c r="L28" s="77" t="s">
        <v>85</v>
      </c>
      <c r="M28" s="41" t="s">
        <v>49</v>
      </c>
      <c r="N28" s="32" t="s">
        <v>89</v>
      </c>
      <c r="O28" s="3"/>
      <c r="P28" s="3"/>
      <c r="Q28" s="3"/>
      <c r="R28" s="3"/>
    </row>
    <row r="29" spans="1:18" ht="16.5" customHeight="1" thickBot="1">
      <c r="A29" s="3"/>
      <c r="B29" s="3"/>
      <c r="C29" s="3"/>
      <c r="D29" s="3"/>
      <c r="E29" s="42" t="str">
        <f t="shared" ref="E29:E42" ca="1" si="7">IF(F29="","",ROUND((F29-TODAY())/30.4,0)&amp;"M")</f>
        <v>1M</v>
      </c>
      <c r="F29" s="70">
        <v>46308</v>
      </c>
      <c r="G29" s="130">
        <v>0.38999999999998636</v>
      </c>
      <c r="H29" s="43" t="str">
        <f t="shared" ref="H29:H42" ca="1" si="8">IF(I29="","",ROUND((I29-TODAY())/30.4,0)&amp;"M")</f>
        <v/>
      </c>
      <c r="I29" s="71"/>
      <c r="J29" s="89"/>
      <c r="K29" s="86" t="str">
        <f t="shared" ref="K29:K42" ca="1" si="9">IF(L29="","",ROUND((L29-TODAY())/30.4,0)&amp;"M")</f>
        <v/>
      </c>
      <c r="L29" s="73" t="str">
        <f t="shared" ref="L29:L42" si="10">IF(I29="","",I29)</f>
        <v/>
      </c>
      <c r="M29" s="44">
        <f t="shared" ref="M29:M42" si="11">J29/100</f>
        <v>0</v>
      </c>
      <c r="N29" s="78" t="s">
        <v>88</v>
      </c>
      <c r="O29" s="79">
        <f>B5</f>
        <v>199.24</v>
      </c>
      <c r="P29" s="3"/>
      <c r="Q29" s="3"/>
      <c r="R29" s="3"/>
    </row>
    <row r="30" spans="1:18" ht="16.5" customHeight="1">
      <c r="A30" s="119" t="s">
        <v>84</v>
      </c>
      <c r="B30" s="120"/>
      <c r="C30" s="45"/>
      <c r="D30" s="3"/>
      <c r="E30" s="46" t="str">
        <f t="shared" ca="1" si="7"/>
        <v>2M</v>
      </c>
      <c r="F30" s="71">
        <v>46338</v>
      </c>
      <c r="G30" s="49">
        <v>0.71999999999999886</v>
      </c>
      <c r="H30" s="48" t="str">
        <f t="shared" ca="1" si="8"/>
        <v/>
      </c>
      <c r="I30" s="87"/>
      <c r="J30" s="88"/>
      <c r="K30" s="48" t="str">
        <f t="shared" ca="1" si="9"/>
        <v/>
      </c>
      <c r="L30" s="73" t="str">
        <f t="shared" si="10"/>
        <v/>
      </c>
      <c r="M30" s="50">
        <f t="shared" si="11"/>
        <v>0</v>
      </c>
      <c r="N30" s="80" t="s">
        <v>87</v>
      </c>
      <c r="O30" s="81">
        <f>M29</f>
        <v>0</v>
      </c>
      <c r="P30" s="85">
        <f>$O$29+O30</f>
        <v>199.24</v>
      </c>
      <c r="Q30" s="3"/>
      <c r="R30" s="3"/>
    </row>
    <row r="31" spans="1:18" ht="16.5" customHeight="1">
      <c r="A31" s="121"/>
      <c r="B31" s="122"/>
      <c r="C31" s="45"/>
      <c r="D31" s="52"/>
      <c r="E31" s="46" t="str">
        <f t="shared" ca="1" si="7"/>
        <v>3M</v>
      </c>
      <c r="F31" s="71">
        <v>46367</v>
      </c>
      <c r="G31" s="49">
        <v>1.0199999999999818</v>
      </c>
      <c r="H31" s="48" t="str">
        <f t="shared" ca="1" si="8"/>
        <v/>
      </c>
      <c r="I31" s="71"/>
      <c r="J31" s="49"/>
      <c r="K31" s="48" t="str">
        <f t="shared" ca="1" si="9"/>
        <v/>
      </c>
      <c r="L31" s="73" t="str">
        <f t="shared" si="10"/>
        <v/>
      </c>
      <c r="M31" s="50">
        <f t="shared" si="11"/>
        <v>0</v>
      </c>
      <c r="N31" s="32"/>
      <c r="O31" s="82">
        <f t="shared" ref="O31:O36" si="12">M30</f>
        <v>0</v>
      </c>
      <c r="P31" s="3">
        <f t="shared" ref="P31:P36" si="13">$O$29+O31</f>
        <v>199.24</v>
      </c>
      <c r="Q31" s="3"/>
      <c r="R31" s="3"/>
    </row>
    <row r="32" spans="1:18" ht="16.5" customHeight="1" thickBot="1">
      <c r="A32" s="123"/>
      <c r="B32" s="124"/>
      <c r="C32" s="45"/>
      <c r="D32" s="52"/>
      <c r="E32" s="46" t="str">
        <f t="shared" ca="1" si="7"/>
        <v>4M</v>
      </c>
      <c r="F32" s="71">
        <v>46398</v>
      </c>
      <c r="G32" s="49">
        <v>1.3400000000000034</v>
      </c>
      <c r="H32" s="48" t="str">
        <f t="shared" ca="1" si="8"/>
        <v/>
      </c>
      <c r="I32" s="71"/>
      <c r="J32" s="49"/>
      <c r="K32" s="48" t="str">
        <f t="shared" ca="1" si="9"/>
        <v/>
      </c>
      <c r="L32" s="73" t="str">
        <f t="shared" si="10"/>
        <v/>
      </c>
      <c r="M32" s="50">
        <f t="shared" si="11"/>
        <v>0</v>
      </c>
      <c r="N32" s="32"/>
      <c r="O32" s="82">
        <f t="shared" si="12"/>
        <v>0</v>
      </c>
      <c r="P32" s="3">
        <f t="shared" si="13"/>
        <v>199.24</v>
      </c>
      <c r="Q32" s="3"/>
      <c r="R32" s="3"/>
    </row>
    <row r="33" spans="1:18" ht="16.5" customHeight="1">
      <c r="A33" s="45"/>
      <c r="B33" s="45"/>
      <c r="C33" s="45"/>
      <c r="D33" s="52"/>
      <c r="E33" s="46" t="str">
        <f t="shared" ca="1" si="7"/>
        <v/>
      </c>
      <c r="F33" s="71"/>
      <c r="G33" s="47"/>
      <c r="H33" s="48" t="str">
        <f t="shared" ca="1" si="8"/>
        <v/>
      </c>
      <c r="I33" s="71"/>
      <c r="J33" s="49"/>
      <c r="K33" s="48" t="str">
        <f t="shared" ca="1" si="9"/>
        <v/>
      </c>
      <c r="L33" s="73" t="str">
        <f t="shared" si="10"/>
        <v/>
      </c>
      <c r="M33" s="50">
        <f t="shared" si="11"/>
        <v>0</v>
      </c>
      <c r="N33" s="32"/>
      <c r="O33" s="82">
        <f t="shared" si="12"/>
        <v>0</v>
      </c>
      <c r="P33" s="3">
        <f t="shared" si="13"/>
        <v>199.24</v>
      </c>
      <c r="Q33" s="3"/>
      <c r="R33" s="3"/>
    </row>
    <row r="34" spans="1:18" ht="16.5" customHeight="1">
      <c r="A34" s="51"/>
      <c r="B34" s="3"/>
      <c r="C34" s="45"/>
      <c r="D34" s="52"/>
      <c r="E34" s="46" t="str">
        <f t="shared" ca="1" si="7"/>
        <v/>
      </c>
      <c r="F34" s="71"/>
      <c r="G34" s="47"/>
      <c r="H34" s="48" t="str">
        <f t="shared" ca="1" si="8"/>
        <v/>
      </c>
      <c r="I34" s="71"/>
      <c r="J34" s="49"/>
      <c r="K34" s="48" t="str">
        <f t="shared" ca="1" si="9"/>
        <v/>
      </c>
      <c r="L34" s="73" t="str">
        <f t="shared" si="10"/>
        <v/>
      </c>
      <c r="M34" s="50">
        <f t="shared" si="11"/>
        <v>0</v>
      </c>
      <c r="N34" s="32"/>
      <c r="O34" s="82">
        <f t="shared" si="12"/>
        <v>0</v>
      </c>
      <c r="P34" s="3">
        <f t="shared" si="13"/>
        <v>199.24</v>
      </c>
      <c r="Q34" s="3"/>
      <c r="R34" s="3"/>
    </row>
    <row r="35" spans="1:18" ht="16.5" customHeight="1">
      <c r="A35" s="3"/>
      <c r="B35" s="3"/>
      <c r="C35" s="45"/>
      <c r="D35" s="52"/>
      <c r="E35" s="46" t="str">
        <f t="shared" ca="1" si="7"/>
        <v/>
      </c>
      <c r="F35" s="71"/>
      <c r="G35" s="47"/>
      <c r="H35" s="48" t="str">
        <f t="shared" ca="1" si="8"/>
        <v/>
      </c>
      <c r="I35" s="71"/>
      <c r="J35" s="47"/>
      <c r="K35" s="48" t="str">
        <f t="shared" ca="1" si="9"/>
        <v/>
      </c>
      <c r="L35" s="73" t="str">
        <f t="shared" si="10"/>
        <v/>
      </c>
      <c r="M35" s="50">
        <f t="shared" si="11"/>
        <v>0</v>
      </c>
      <c r="N35" s="32"/>
      <c r="O35" s="82">
        <f t="shared" si="12"/>
        <v>0</v>
      </c>
      <c r="P35" s="3">
        <f t="shared" si="13"/>
        <v>199.24</v>
      </c>
      <c r="Q35" s="3"/>
      <c r="R35" s="3"/>
    </row>
    <row r="36" spans="1:18" ht="16.5" customHeight="1" thickBot="1">
      <c r="A36" s="3"/>
      <c r="B36" s="3"/>
      <c r="C36" s="45"/>
      <c r="D36" s="3"/>
      <c r="E36" s="46" t="str">
        <f t="shared" ca="1" si="7"/>
        <v/>
      </c>
      <c r="F36" s="71"/>
      <c r="G36" s="47"/>
      <c r="H36" s="48" t="str">
        <f t="shared" ca="1" si="8"/>
        <v/>
      </c>
      <c r="I36" s="71"/>
      <c r="J36" s="47"/>
      <c r="K36" s="48" t="str">
        <f t="shared" ca="1" si="9"/>
        <v/>
      </c>
      <c r="L36" s="73" t="str">
        <f t="shared" si="10"/>
        <v/>
      </c>
      <c r="M36" s="50">
        <f t="shared" si="11"/>
        <v>0</v>
      </c>
      <c r="N36" s="83"/>
      <c r="O36" s="84">
        <f t="shared" si="12"/>
        <v>0</v>
      </c>
      <c r="P36" s="3">
        <f t="shared" si="13"/>
        <v>199.24</v>
      </c>
      <c r="Q36" s="3"/>
      <c r="R36" s="3"/>
    </row>
    <row r="37" spans="1:18" ht="16.5" customHeight="1">
      <c r="A37" s="3"/>
      <c r="B37" s="3"/>
      <c r="C37" s="45"/>
      <c r="D37" s="3"/>
      <c r="E37" s="46" t="str">
        <f t="shared" ca="1" si="7"/>
        <v/>
      </c>
      <c r="F37" s="71"/>
      <c r="G37" s="47"/>
      <c r="H37" s="48" t="str">
        <f t="shared" ca="1" si="8"/>
        <v/>
      </c>
      <c r="I37" s="71"/>
      <c r="J37" s="47"/>
      <c r="K37" s="48" t="str">
        <f t="shared" ca="1" si="9"/>
        <v/>
      </c>
      <c r="L37" s="73" t="str">
        <f t="shared" si="10"/>
        <v/>
      </c>
      <c r="M37" s="50">
        <f t="shared" si="11"/>
        <v>0</v>
      </c>
      <c r="N37" s="3"/>
      <c r="O37" s="3"/>
      <c r="P37" s="3"/>
      <c r="Q37" s="3"/>
      <c r="R37" s="3"/>
    </row>
    <row r="38" spans="1:18" ht="16.5" customHeight="1">
      <c r="A38" s="3"/>
      <c r="B38" s="3"/>
      <c r="C38" s="45"/>
      <c r="D38" s="52"/>
      <c r="E38" s="46" t="str">
        <f t="shared" ca="1" si="7"/>
        <v/>
      </c>
      <c r="F38" s="71"/>
      <c r="G38" s="47"/>
      <c r="H38" s="48" t="str">
        <f t="shared" ca="1" si="8"/>
        <v/>
      </c>
      <c r="I38" s="71"/>
      <c r="J38" s="47"/>
      <c r="K38" s="48" t="str">
        <f t="shared" ca="1" si="9"/>
        <v/>
      </c>
      <c r="L38" s="73" t="str">
        <f t="shared" si="10"/>
        <v/>
      </c>
      <c r="M38" s="50">
        <f t="shared" si="11"/>
        <v>0</v>
      </c>
      <c r="N38" s="3"/>
      <c r="O38" s="3"/>
      <c r="P38" s="3"/>
      <c r="Q38" s="3"/>
      <c r="R38" s="3"/>
    </row>
    <row r="39" spans="1:18" ht="16.5" customHeight="1">
      <c r="A39" s="3"/>
      <c r="B39" s="3"/>
      <c r="C39" s="45"/>
      <c r="D39" s="52"/>
      <c r="E39" s="46" t="str">
        <f t="shared" ca="1" si="7"/>
        <v/>
      </c>
      <c r="F39" s="71"/>
      <c r="G39" s="47"/>
      <c r="H39" s="48" t="str">
        <f t="shared" ca="1" si="8"/>
        <v/>
      </c>
      <c r="I39" s="71"/>
      <c r="J39" s="47"/>
      <c r="K39" s="48" t="str">
        <f t="shared" ca="1" si="9"/>
        <v/>
      </c>
      <c r="L39" s="73" t="str">
        <f t="shared" si="10"/>
        <v/>
      </c>
      <c r="M39" s="50">
        <f t="shared" si="11"/>
        <v>0</v>
      </c>
      <c r="N39" s="3"/>
      <c r="O39" s="3"/>
      <c r="P39" s="3"/>
      <c r="Q39" s="3"/>
      <c r="R39" s="3"/>
    </row>
    <row r="40" spans="1:18" ht="16.5" customHeight="1">
      <c r="A40" s="3"/>
      <c r="B40" s="3"/>
      <c r="C40" s="45"/>
      <c r="D40" s="52"/>
      <c r="E40" s="46" t="str">
        <f t="shared" ca="1" si="7"/>
        <v/>
      </c>
      <c r="F40" s="71"/>
      <c r="G40" s="47"/>
      <c r="H40" s="48" t="str">
        <f t="shared" ca="1" si="8"/>
        <v/>
      </c>
      <c r="I40" s="71"/>
      <c r="J40" s="47"/>
      <c r="K40" s="48" t="str">
        <f t="shared" ca="1" si="9"/>
        <v/>
      </c>
      <c r="L40" s="73" t="str">
        <f t="shared" si="10"/>
        <v/>
      </c>
      <c r="M40" s="50">
        <f t="shared" si="11"/>
        <v>0</v>
      </c>
      <c r="N40" s="3"/>
      <c r="O40" s="3"/>
      <c r="P40" s="3"/>
      <c r="Q40" s="3"/>
      <c r="R40" s="3"/>
    </row>
    <row r="41" spans="1:18" ht="16.5" customHeight="1">
      <c r="A41" s="3"/>
      <c r="B41" s="3"/>
      <c r="C41" s="45"/>
      <c r="D41" s="52"/>
      <c r="E41" s="46" t="str">
        <f t="shared" ca="1" si="7"/>
        <v/>
      </c>
      <c r="F41" s="71"/>
      <c r="G41" s="47"/>
      <c r="H41" s="48" t="str">
        <f t="shared" ca="1" si="8"/>
        <v/>
      </c>
      <c r="I41" s="71"/>
      <c r="J41" s="47"/>
      <c r="K41" s="48" t="str">
        <f t="shared" ca="1" si="9"/>
        <v/>
      </c>
      <c r="L41" s="73" t="str">
        <f t="shared" si="10"/>
        <v/>
      </c>
      <c r="M41" s="50">
        <f t="shared" si="11"/>
        <v>0</v>
      </c>
      <c r="N41" s="3"/>
      <c r="O41" s="3"/>
      <c r="P41" s="3"/>
      <c r="Q41" s="3"/>
      <c r="R41" s="3"/>
    </row>
    <row r="42" spans="1:18" ht="17.25" customHeight="1" thickBot="1">
      <c r="A42" s="3"/>
      <c r="B42" s="3"/>
      <c r="C42" s="45"/>
      <c r="D42" s="52"/>
      <c r="E42" s="53" t="str">
        <f t="shared" ca="1" si="7"/>
        <v/>
      </c>
      <c r="F42" s="72"/>
      <c r="G42" s="54"/>
      <c r="H42" s="55" t="str">
        <f t="shared" ca="1" si="8"/>
        <v/>
      </c>
      <c r="I42" s="72"/>
      <c r="J42" s="54"/>
      <c r="K42" s="55" t="str">
        <f t="shared" ca="1" si="9"/>
        <v/>
      </c>
      <c r="L42" s="73" t="str">
        <f t="shared" si="10"/>
        <v/>
      </c>
      <c r="M42" s="56">
        <f t="shared" si="11"/>
        <v>0</v>
      </c>
      <c r="N42" s="3"/>
      <c r="O42" s="3"/>
      <c r="P42" s="3"/>
      <c r="Q42" s="3"/>
      <c r="R42" s="3"/>
    </row>
    <row r="43" spans="1:18" ht="16.5" customHeight="1">
      <c r="A43" s="3"/>
      <c r="B43" s="3"/>
      <c r="C43" s="3"/>
      <c r="D43" s="3"/>
      <c r="E43" s="3"/>
      <c r="F43" s="57"/>
      <c r="G43" s="3"/>
      <c r="H43" s="3"/>
      <c r="I43" s="57"/>
      <c r="J43" s="3"/>
      <c r="K43" s="3"/>
      <c r="L43" s="58"/>
      <c r="M43" s="58"/>
      <c r="N43" s="3"/>
      <c r="O43" s="3"/>
      <c r="P43" s="3"/>
      <c r="Q43" s="3"/>
      <c r="R43" s="3"/>
    </row>
    <row r="44" spans="1:18" ht="16.5" customHeight="1">
      <c r="A44" s="3"/>
      <c r="B44" s="3"/>
      <c r="C44" s="3"/>
      <c r="D44" s="3"/>
      <c r="E44" s="3"/>
      <c r="F44" s="57"/>
      <c r="G44" s="3"/>
      <c r="H44" s="3"/>
      <c r="I44" s="57"/>
      <c r="J44" s="3"/>
      <c r="K44" s="3"/>
      <c r="L44" s="58"/>
      <c r="M44" s="58"/>
      <c r="N44" s="3"/>
      <c r="O44" s="3"/>
      <c r="P44" s="3"/>
      <c r="Q44" s="3"/>
      <c r="R44" s="3"/>
    </row>
    <row r="45" spans="1:18" ht="16.5" customHeight="1">
      <c r="F45" s="59"/>
      <c r="I45" s="59"/>
    </row>
    <row r="46" spans="1:18" ht="16.5" customHeight="1">
      <c r="F46" s="59"/>
      <c r="I46" s="59"/>
    </row>
  </sheetData>
  <mergeCells count="6">
    <mergeCell ref="A30:B32"/>
    <mergeCell ref="C1:K1"/>
    <mergeCell ref="C2:K2"/>
    <mergeCell ref="D3:E3"/>
    <mergeCell ref="C4:C15"/>
    <mergeCell ref="C17:C27"/>
  </mergeCells>
  <phoneticPr fontId="21" type="noConversion"/>
  <conditionalFormatting sqref="L40">
    <cfRule type="expression" dxfId="32" priority="29">
      <formula>AND($F40&lt;&gt;"",$F40&gt;EDATE(TODAY(),12))</formula>
    </cfRule>
    <cfRule type="expression" dxfId="31" priority="30">
      <formula>AND($F40&lt;&gt;"",$F40&gt;EDATE(TODAY(),12))</formula>
    </cfRule>
    <cfRule type="expression" dxfId="30" priority="31">
      <formula>AND($F40&lt;&gt;"",$F40&gt;EDATE(TODAY(),12))</formula>
    </cfRule>
  </conditionalFormatting>
  <conditionalFormatting sqref="I40">
    <cfRule type="expression" dxfId="29" priority="28">
      <formula>AND($F40&lt;&gt;"",$F40&gt;EDATE(TODAY(),12))</formula>
    </cfRule>
  </conditionalFormatting>
  <conditionalFormatting sqref="L42">
    <cfRule type="expression" dxfId="28" priority="27">
      <formula>AND($F42&lt;&gt;"",$F42&gt;EDATE(TODAY(),12))</formula>
    </cfRule>
  </conditionalFormatting>
  <conditionalFormatting sqref="L41">
    <cfRule type="expression" dxfId="27" priority="26">
      <formula>AND($F41&lt;&gt;"",$F41&gt;EDATE(TODAY(),12))</formula>
    </cfRule>
  </conditionalFormatting>
  <conditionalFormatting sqref="L39">
    <cfRule type="expression" dxfId="26" priority="25">
      <formula>AND($F39&lt;&gt;"",$F39&gt;EDATE(TODAY(),12))</formula>
    </cfRule>
  </conditionalFormatting>
  <conditionalFormatting sqref="L38">
    <cfRule type="expression" dxfId="25" priority="24">
      <formula>AND($F38&lt;&gt;"",$F38&gt;EDATE(TODAY(),12))</formula>
    </cfRule>
  </conditionalFormatting>
  <conditionalFormatting sqref="L37">
    <cfRule type="expression" dxfId="24" priority="23">
      <formula>AND($F37&lt;&gt;"",$F37&gt;EDATE(TODAY(),12))</formula>
    </cfRule>
  </conditionalFormatting>
  <conditionalFormatting sqref="L36">
    <cfRule type="expression" dxfId="23" priority="22">
      <formula>AND($F36&lt;&gt;"",$F36&gt;EDATE(TODAY(),12))</formula>
    </cfRule>
  </conditionalFormatting>
  <conditionalFormatting sqref="L31:L35">
    <cfRule type="expression" dxfId="22" priority="21">
      <formula>AND($F31&lt;&gt;"",$F31&gt;EDATE(TODAY(),12))</formula>
    </cfRule>
  </conditionalFormatting>
  <conditionalFormatting sqref="L34">
    <cfRule type="expression" dxfId="21" priority="20">
      <formula>AND($F34&lt;&gt;"",$F34&gt;EDATE(TODAY(),12))</formula>
    </cfRule>
  </conditionalFormatting>
  <conditionalFormatting sqref="L33">
    <cfRule type="expression" dxfId="20" priority="19">
      <formula>AND($F33&lt;&gt;"",$F33&gt;EDATE(TODAY(),12))</formula>
    </cfRule>
  </conditionalFormatting>
  <conditionalFormatting sqref="L29:L42">
    <cfRule type="expression" dxfId="19" priority="18">
      <formula>AND($F29&lt;&gt;"",$F29&gt;EDATE(TODAY(),12))</formula>
    </cfRule>
  </conditionalFormatting>
  <conditionalFormatting sqref="I29:I32">
    <cfRule type="expression" dxfId="18" priority="17">
      <formula>AND($F29&lt;&gt;"",$F29&gt;EDATE(TODAY(),12))</formula>
    </cfRule>
  </conditionalFormatting>
  <conditionalFormatting sqref="D18:D27">
    <cfRule type="expression" dxfId="17" priority="16">
      <formula>AND($D18&lt;&gt;"",$D18&gt;EDATE(TODAY(),12))</formula>
    </cfRule>
  </conditionalFormatting>
  <conditionalFormatting sqref="F29:F42">
    <cfRule type="expression" dxfId="16" priority="15">
      <formula>AND($F29&lt;&gt;"",$F29&gt;EDATE(TODAY(),12))</formula>
    </cfRule>
  </conditionalFormatting>
  <conditionalFormatting sqref="K4:K15">
    <cfRule type="expression" dxfId="15" priority="14">
      <formula>LEFT($K4,1)="⚠"</formula>
    </cfRule>
  </conditionalFormatting>
  <conditionalFormatting sqref="K17:K27">
    <cfRule type="expression" dxfId="14" priority="13">
      <formula>LEFT($K17,1)="⚠"</formula>
    </cfRule>
  </conditionalFormatting>
  <conditionalFormatting sqref="L36">
    <cfRule type="expression" dxfId="13" priority="12">
      <formula>AND($F36&lt;&gt;"",$F36&gt;EDATE(TODAY(),12))</formula>
    </cfRule>
  </conditionalFormatting>
  <conditionalFormatting sqref="L37">
    <cfRule type="expression" dxfId="12" priority="11">
      <formula>AND($F37&lt;&gt;"",$F37&gt;EDATE(TODAY(),12))</formula>
    </cfRule>
  </conditionalFormatting>
  <conditionalFormatting sqref="L38">
    <cfRule type="expression" dxfId="11" priority="10">
      <formula>AND($F38&lt;&gt;"",$F38&gt;EDATE(TODAY(),12))</formula>
    </cfRule>
  </conditionalFormatting>
  <conditionalFormatting sqref="L39">
    <cfRule type="expression" dxfId="10" priority="9">
      <formula>AND($F39&lt;&gt;"",$F39&gt;EDATE(TODAY(),12))</formula>
    </cfRule>
  </conditionalFormatting>
  <conditionalFormatting sqref="L40">
    <cfRule type="expression" dxfId="9" priority="8">
      <formula>AND($F40&lt;&gt;"",$F40&gt;EDATE(TODAY(),12))</formula>
    </cfRule>
  </conditionalFormatting>
  <conditionalFormatting sqref="L41">
    <cfRule type="expression" dxfId="8" priority="7">
      <formula>AND($F41&lt;&gt;"",$F41&gt;EDATE(TODAY(),12))</formula>
    </cfRule>
  </conditionalFormatting>
  <conditionalFormatting sqref="L30">
    <cfRule type="expression" dxfId="7" priority="6">
      <formula>AND($F30&lt;&gt;"",$F30&gt;EDATE(TODAY(),12))</formula>
    </cfRule>
  </conditionalFormatting>
  <conditionalFormatting sqref="L29:L42">
    <cfRule type="expression" dxfId="6" priority="5">
      <formula>AND($F29&lt;&gt;"",$F29&gt;EDATE(TODAY(),12))</formula>
    </cfRule>
  </conditionalFormatting>
  <conditionalFormatting sqref="I29">
    <cfRule type="expression" dxfId="5" priority="4">
      <formula>AND($F29&lt;&gt;"",$F29&gt;EDATE(TODAY(),12))</formula>
    </cfRule>
  </conditionalFormatting>
  <conditionalFormatting sqref="I30">
    <cfRule type="expression" dxfId="4" priority="3">
      <formula>AND($F30&lt;&gt;"",$F30&gt;EDATE(TODAY(),12))</formula>
    </cfRule>
  </conditionalFormatting>
  <conditionalFormatting sqref="I29">
    <cfRule type="expression" dxfId="3" priority="2">
      <formula>AND($F29&lt;&gt;"",$F29&gt;EDATE(TODAY(),12))</formula>
    </cfRule>
  </conditionalFormatting>
  <conditionalFormatting sqref="D17">
    <cfRule type="expression" dxfId="2" priority="1">
      <formula>AND($D17&lt;&gt;"",$D17&gt;EDATE(TODAY(),12))</formula>
    </cfRule>
  </conditionalFormatting>
  <dataValidations disablePrompts="1" count="1">
    <dataValidation type="list" allowBlank="1" sqref="B2">
      <formula1>통화설정!$A$2:$A$13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H16"/>
  <sheetViews>
    <sheetView zoomScaleNormal="100" workbookViewId="0">
      <selection activeCell="B6" sqref="B6"/>
    </sheetView>
  </sheetViews>
  <sheetFormatPr defaultColWidth="8.5" defaultRowHeight="16.5"/>
  <cols>
    <col min="1" max="2" width="10" style="1" customWidth="1"/>
    <col min="3" max="3" width="11" style="1" customWidth="1"/>
    <col min="4" max="4" width="13" style="1" customWidth="1"/>
    <col min="5" max="5" width="9" style="1" customWidth="1"/>
    <col min="6" max="6" width="42" style="1" customWidth="1"/>
  </cols>
  <sheetData>
    <row r="1" spans="1:8" ht="16.5" customHeight="1">
      <c r="A1" s="60" t="s">
        <v>1</v>
      </c>
      <c r="B1" s="60" t="s">
        <v>13</v>
      </c>
      <c r="C1" s="60" t="s">
        <v>50</v>
      </c>
      <c r="D1" s="60" t="s">
        <v>51</v>
      </c>
      <c r="E1" s="60" t="s">
        <v>19</v>
      </c>
      <c r="F1" s="60" t="s">
        <v>9</v>
      </c>
      <c r="G1" s="61" t="s">
        <v>52</v>
      </c>
      <c r="H1" s="61" t="s">
        <v>53</v>
      </c>
    </row>
    <row r="2" spans="1:8" ht="16.5" customHeight="1">
      <c r="A2" s="1" t="s">
        <v>54</v>
      </c>
      <c r="B2" s="1" t="s">
        <v>55</v>
      </c>
      <c r="C2" s="1" t="s">
        <v>55</v>
      </c>
      <c r="D2" s="1" t="s">
        <v>55</v>
      </c>
      <c r="E2" s="1">
        <v>1</v>
      </c>
      <c r="F2" s="62" t="s">
        <v>56</v>
      </c>
      <c r="G2" s="63">
        <v>3.625</v>
      </c>
      <c r="H2" s="63">
        <v>3</v>
      </c>
    </row>
    <row r="3" spans="1:8" ht="16.5" customHeight="1">
      <c r="A3" s="1" t="s">
        <v>57</v>
      </c>
      <c r="B3" s="62" t="s">
        <v>58</v>
      </c>
      <c r="C3" s="1">
        <v>10000</v>
      </c>
      <c r="D3" s="1">
        <v>2</v>
      </c>
      <c r="E3" s="1">
        <v>1</v>
      </c>
      <c r="F3" s="1" t="s">
        <v>59</v>
      </c>
      <c r="G3" s="63">
        <v>1.4</v>
      </c>
    </row>
    <row r="4" spans="1:8" ht="16.5" customHeight="1">
      <c r="A4" s="1" t="s">
        <v>60</v>
      </c>
      <c r="B4" s="62" t="s">
        <v>58</v>
      </c>
      <c r="C4" s="1">
        <v>10000</v>
      </c>
      <c r="D4" s="1">
        <v>2</v>
      </c>
      <c r="E4" s="1">
        <v>1</v>
      </c>
      <c r="F4" s="1" t="s">
        <v>61</v>
      </c>
      <c r="G4" s="63">
        <v>1.4</v>
      </c>
    </row>
    <row r="5" spans="1:8" ht="16.5" customHeight="1">
      <c r="A5" s="1" t="s">
        <v>49</v>
      </c>
      <c r="B5" s="62" t="s">
        <v>58</v>
      </c>
      <c r="C5" s="1">
        <v>100</v>
      </c>
      <c r="D5" s="1">
        <v>4</v>
      </c>
      <c r="E5" s="1">
        <v>100</v>
      </c>
      <c r="F5" s="1" t="s">
        <v>62</v>
      </c>
      <c r="G5" s="63">
        <v>1</v>
      </c>
    </row>
    <row r="6" spans="1:8" ht="16.5" customHeight="1">
      <c r="A6" s="1" t="s">
        <v>2</v>
      </c>
      <c r="B6" s="62" t="s">
        <v>63</v>
      </c>
      <c r="C6" s="1">
        <v>10000</v>
      </c>
      <c r="D6" s="1">
        <v>2</v>
      </c>
      <c r="E6" s="1">
        <v>1</v>
      </c>
      <c r="F6" s="1" t="s">
        <v>64</v>
      </c>
      <c r="G6" s="63">
        <v>2.25</v>
      </c>
    </row>
    <row r="7" spans="1:8" ht="16.5" customHeight="1">
      <c r="A7" s="1" t="s">
        <v>65</v>
      </c>
      <c r="B7" s="62" t="s">
        <v>63</v>
      </c>
      <c r="C7" s="1">
        <v>10000</v>
      </c>
      <c r="D7" s="1">
        <v>2</v>
      </c>
      <c r="E7" s="1">
        <v>1</v>
      </c>
      <c r="F7" s="1" t="s">
        <v>66</v>
      </c>
      <c r="G7" s="63">
        <v>4.3499999999999996</v>
      </c>
    </row>
    <row r="8" spans="1:8" ht="16.5" customHeight="1">
      <c r="A8" s="1" t="s">
        <v>67</v>
      </c>
      <c r="B8" s="62" t="s">
        <v>63</v>
      </c>
      <c r="C8" s="1">
        <v>10000</v>
      </c>
      <c r="D8" s="1">
        <v>2</v>
      </c>
      <c r="E8" s="1">
        <v>1</v>
      </c>
      <c r="F8" s="1" t="s">
        <v>68</v>
      </c>
      <c r="G8" s="63">
        <v>3.75</v>
      </c>
    </row>
    <row r="9" spans="1:8" ht="16.5" customHeight="1">
      <c r="A9" s="1" t="s">
        <v>69</v>
      </c>
      <c r="B9" s="62" t="s">
        <v>63</v>
      </c>
      <c r="C9" s="1">
        <v>10000</v>
      </c>
      <c r="D9" s="1">
        <v>2</v>
      </c>
      <c r="E9" s="1">
        <v>1</v>
      </c>
      <c r="F9" s="1" t="s">
        <v>70</v>
      </c>
      <c r="G9" s="63">
        <v>2.75</v>
      </c>
    </row>
    <row r="10" spans="1:8" ht="16.5" customHeight="1">
      <c r="A10" s="1" t="s">
        <v>71</v>
      </c>
      <c r="B10" s="62" t="s">
        <v>58</v>
      </c>
      <c r="C10" s="1">
        <v>10000</v>
      </c>
      <c r="D10" s="1">
        <v>2</v>
      </c>
      <c r="E10" s="1">
        <v>1</v>
      </c>
      <c r="F10" s="1" t="s">
        <v>72</v>
      </c>
      <c r="G10" s="63">
        <v>4</v>
      </c>
    </row>
    <row r="11" spans="1:8" ht="16.5" customHeight="1">
      <c r="A11" s="1" t="s">
        <v>73</v>
      </c>
      <c r="B11" s="62" t="s">
        <v>58</v>
      </c>
      <c r="C11" s="1">
        <v>10000</v>
      </c>
      <c r="D11" s="1">
        <v>2</v>
      </c>
      <c r="E11" s="1">
        <v>1</v>
      </c>
      <c r="F11" s="1" t="s">
        <v>74</v>
      </c>
      <c r="G11" s="63">
        <v>1.5</v>
      </c>
    </row>
    <row r="12" spans="1:8" ht="16.5" customHeight="1">
      <c r="A12" s="1" t="s">
        <v>75</v>
      </c>
      <c r="B12" s="62" t="s">
        <v>58</v>
      </c>
      <c r="C12" s="1">
        <v>10000</v>
      </c>
      <c r="D12" s="1">
        <v>2</v>
      </c>
      <c r="E12" s="1">
        <v>1</v>
      </c>
      <c r="F12" s="1" t="s">
        <v>76</v>
      </c>
      <c r="G12" s="63">
        <v>0</v>
      </c>
    </row>
    <row r="13" spans="1:8" ht="16.5" customHeight="1">
      <c r="A13" s="1" t="s">
        <v>77</v>
      </c>
      <c r="B13" s="62" t="s">
        <v>58</v>
      </c>
      <c r="C13" s="1">
        <v>10000</v>
      </c>
      <c r="D13" s="1">
        <v>2</v>
      </c>
      <c r="E13" s="1">
        <v>1</v>
      </c>
      <c r="F13" s="1" t="s">
        <v>78</v>
      </c>
      <c r="G13" s="63">
        <v>2.25</v>
      </c>
    </row>
    <row r="15" spans="1:8" ht="16.5" customHeight="1">
      <c r="A15" s="64" t="s">
        <v>79</v>
      </c>
      <c r="G15" s="65" t="s">
        <v>80</v>
      </c>
    </row>
    <row r="16" spans="1:8" ht="16.5" customHeight="1">
      <c r="A16" s="64" t="s">
        <v>81</v>
      </c>
    </row>
  </sheetData>
  <phoneticPr fontId="21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3"/>
  <sheetViews>
    <sheetView workbookViewId="0">
      <selection activeCell="A4" sqref="A4"/>
    </sheetView>
  </sheetViews>
  <sheetFormatPr defaultRowHeight="16.5"/>
  <sheetData>
    <row r="1" spans="1:1">
      <c r="A1" t="s">
        <v>94</v>
      </c>
    </row>
    <row r="2" spans="1:1">
      <c r="A2" t="s">
        <v>93</v>
      </c>
    </row>
    <row r="3" spans="1:1">
      <c r="A3" t="s">
        <v>95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인디가격(EUR)</vt:lpstr>
      <vt:lpstr>인디가격2(JPY)</vt:lpstr>
      <vt:lpstr>인디가격3(그외)</vt:lpstr>
      <vt:lpstr>통화설정</vt:lpstr>
      <vt:lpstr>펀드신규절차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2170480</dc:creator>
  <cp:lastModifiedBy>2170480</cp:lastModifiedBy>
  <cp:revision>0</cp:revision>
  <dcterms:created xsi:type="dcterms:W3CDTF">2026-07-06T00:03:51Z</dcterms:created>
  <dcterms:modified xsi:type="dcterms:W3CDTF">2026-09-09T05:23:50Z</dcterms:modified>
  <dc:language>en-US</dc:language>
</cp:coreProperties>
</file>