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innoecm_group+\(966)자금부\외화파트\로이터설치파일\"/>
    </mc:Choice>
  </mc:AlternateContent>
  <xr:revisionPtr revIDLastSave="0" documentId="8_{318DCF9C-90D3-44E6-B354-D1BCE45B189D}" xr6:coauthVersionLast="47" xr6:coauthVersionMax="47" xr10:uidLastSave="{00000000-0000-0000-0000-000000000000}"/>
  <bookViews>
    <workbookView xWindow="-120" yWindow="-120" windowWidth="29040" windowHeight="15720" xr2:uid="{C9FB997E-F300-4EB0-9748-E738A7EE760F}"/>
  </bookViews>
  <sheets>
    <sheet name="FW1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6" i="1" l="1"/>
  <c r="N17" i="1"/>
  <c r="N18" i="1"/>
  <c r="N19" i="1"/>
  <c r="N20" i="1"/>
  <c r="N21" i="1"/>
  <c r="N22" i="1"/>
  <c r="N23" i="1"/>
  <c r="N24" i="1"/>
  <c r="N25" i="1"/>
  <c r="N26" i="1"/>
  <c r="N27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" i="1" l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5" i="1" l="1"/>
  <c r="N6" i="1"/>
  <c r="N7" i="1"/>
  <c r="N8" i="1"/>
  <c r="N9" i="1"/>
  <c r="N10" i="1"/>
  <c r="N11" i="1"/>
  <c r="N12" i="1"/>
  <c r="N13" i="1"/>
  <c r="N14" i="1"/>
  <c r="N15" i="1"/>
  <c r="N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MasterVD</author>
  </authors>
  <commentList>
    <comment ref="C5" authorId="0" shapeId="0" xr:uid="{E2AD2306-B87D-4E21-B09B-13E7E70D5FB1}">
      <text>
        <r>
          <rPr>
            <b/>
            <sz val="9"/>
            <color indexed="81"/>
            <rFont val="Tahoma"/>
            <family val="2"/>
          </rPr>
          <t xml:space="preserve">2025.03.17 </t>
        </r>
        <r>
          <rPr>
            <b/>
            <sz val="9"/>
            <color indexed="81"/>
            <rFont val="돋움"/>
            <family val="3"/>
            <charset val="129"/>
          </rPr>
          <t xml:space="preserve">부터
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개월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內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만기도래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정기예치금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C6" authorId="0" shapeId="0" xr:uid="{75490F7B-19A9-4696-94C9-D5CECF8621EE}">
      <text>
        <r>
          <rPr>
            <b/>
            <sz val="9"/>
            <color indexed="81"/>
            <rFont val="Tahoma"/>
            <family val="2"/>
          </rPr>
          <t xml:space="preserve">2025.03.17 </t>
        </r>
        <r>
          <rPr>
            <b/>
            <sz val="9"/>
            <color indexed="81"/>
            <rFont val="돋움"/>
            <family val="3"/>
            <charset val="129"/>
          </rPr>
          <t xml:space="preserve">부터
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개월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內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만기도래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정기예치금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</commentList>
</comments>
</file>

<file path=xl/sharedStrings.xml><?xml version="1.0" encoding="utf-8"?>
<sst xmlns="http://schemas.openxmlformats.org/spreadsheetml/2006/main" count="80" uniqueCount="80">
  <si>
    <t>(단위 : 백만불)</t>
    <phoneticPr fontId="2" type="noConversion"/>
  </si>
  <si>
    <t>MM</t>
  </si>
  <si>
    <t>NN</t>
  </si>
  <si>
    <t>OO</t>
  </si>
  <si>
    <r>
      <rPr>
        <b/>
        <sz val="9"/>
        <color indexed="8"/>
        <rFont val="돋움"/>
        <family val="3"/>
        <charset val="129"/>
      </rPr>
      <t xml:space="preserve">순콜론
</t>
    </r>
    <r>
      <rPr>
        <b/>
        <sz val="9"/>
        <color indexed="8"/>
        <rFont val="Tahoma"/>
        <family val="2"/>
      </rPr>
      <t>(</t>
    </r>
    <r>
      <rPr>
        <b/>
        <sz val="9"/>
        <color indexed="8"/>
        <rFont val="돋움"/>
        <family val="3"/>
        <charset val="129"/>
      </rPr>
      <t>본점</t>
    </r>
    <r>
      <rPr>
        <b/>
        <sz val="9"/>
        <color indexed="8"/>
        <rFont val="Tahoma"/>
        <family val="2"/>
      </rPr>
      <t>+</t>
    </r>
    <r>
      <rPr>
        <b/>
        <sz val="9"/>
        <color indexed="8"/>
        <rFont val="돋움"/>
        <family val="3"/>
        <charset val="129"/>
      </rPr>
      <t>해외점포</t>
    </r>
    <r>
      <rPr>
        <b/>
        <sz val="9"/>
        <color indexed="8"/>
        <rFont val="Tahoma"/>
        <family val="2"/>
      </rPr>
      <t>)
1)</t>
    </r>
    <phoneticPr fontId="2" type="noConversion"/>
  </si>
  <si>
    <r>
      <rPr>
        <b/>
        <sz val="9"/>
        <color indexed="8"/>
        <rFont val="돋움"/>
        <family val="3"/>
        <charset val="129"/>
      </rPr>
      <t>여유자금</t>
    </r>
    <r>
      <rPr>
        <b/>
        <sz val="9"/>
        <color indexed="8"/>
        <rFont val="Tahoma"/>
        <family val="2"/>
      </rPr>
      <t xml:space="preserve"> MMDA
</t>
    </r>
    <r>
      <rPr>
        <b/>
        <sz val="9"/>
        <color indexed="8"/>
        <rFont val="돋움"/>
        <family val="3"/>
        <charset val="129"/>
      </rPr>
      <t>예치분</t>
    </r>
    <r>
      <rPr>
        <b/>
        <sz val="9"/>
        <color indexed="8"/>
        <rFont val="Tahoma"/>
        <family val="2"/>
      </rPr>
      <t xml:space="preserve"> </t>
    </r>
    <r>
      <rPr>
        <b/>
        <sz val="9"/>
        <color indexed="8"/>
        <rFont val="돋움"/>
        <family val="3"/>
        <charset val="129"/>
      </rPr>
      <t xml:space="preserve">등
</t>
    </r>
    <r>
      <rPr>
        <b/>
        <sz val="9"/>
        <color indexed="8"/>
        <rFont val="Tahoma"/>
        <family val="2"/>
      </rPr>
      <t>2)</t>
    </r>
    <phoneticPr fontId="2" type="noConversion"/>
  </si>
  <si>
    <r>
      <t xml:space="preserve">MMDA </t>
    </r>
    <r>
      <rPr>
        <b/>
        <sz val="9"/>
        <color indexed="8"/>
        <rFont val="돋움"/>
        <family val="3"/>
        <charset val="129"/>
      </rPr>
      <t xml:space="preserve">제외
수시입출금식
예치금
</t>
    </r>
    <r>
      <rPr>
        <b/>
        <sz val="9"/>
        <color indexed="8"/>
        <rFont val="Tahoma"/>
        <family val="2"/>
      </rPr>
      <t>3)</t>
    </r>
    <phoneticPr fontId="2" type="noConversion"/>
  </si>
  <si>
    <r>
      <t>FX</t>
    </r>
    <r>
      <rPr>
        <b/>
        <sz val="9"/>
        <color indexed="8"/>
        <rFont val="돋움"/>
        <family val="3"/>
        <charset val="129"/>
      </rPr>
      <t>스왑</t>
    </r>
    <r>
      <rPr>
        <b/>
        <sz val="9"/>
        <color indexed="8"/>
        <rFont val="Tahoma"/>
        <family val="2"/>
      </rPr>
      <t xml:space="preserve"> </t>
    </r>
    <r>
      <rPr>
        <b/>
        <sz val="9"/>
        <color indexed="8"/>
        <rFont val="돋움"/>
        <family val="3"/>
        <charset val="129"/>
      </rPr>
      <t>운용</t>
    </r>
    <r>
      <rPr>
        <b/>
        <sz val="9"/>
        <color indexed="8"/>
        <rFont val="Tahoma"/>
        <family val="2"/>
      </rPr>
      <t xml:space="preserve"> </t>
    </r>
    <r>
      <rPr>
        <b/>
        <sz val="9"/>
        <color indexed="8"/>
        <rFont val="돋움"/>
        <family val="3"/>
        <charset val="129"/>
      </rPr>
      <t xml:space="preserve">잔액
</t>
    </r>
    <r>
      <rPr>
        <b/>
        <sz val="9"/>
        <color indexed="8"/>
        <rFont val="Tahoma"/>
        <family val="2"/>
      </rPr>
      <t>4)</t>
    </r>
    <phoneticPr fontId="2" type="noConversion"/>
  </si>
  <si>
    <r>
      <t>FX</t>
    </r>
    <r>
      <rPr>
        <b/>
        <sz val="9"/>
        <color indexed="8"/>
        <rFont val="돋움"/>
        <family val="3"/>
        <charset val="129"/>
      </rPr>
      <t>스왑</t>
    </r>
    <r>
      <rPr>
        <b/>
        <sz val="9"/>
        <color indexed="8"/>
        <rFont val="Tahoma"/>
        <family val="2"/>
      </rPr>
      <t xml:space="preserve"> </t>
    </r>
    <r>
      <rPr>
        <b/>
        <sz val="9"/>
        <color indexed="8"/>
        <rFont val="돋움"/>
        <family val="3"/>
        <charset val="129"/>
      </rPr>
      <t>조달</t>
    </r>
    <r>
      <rPr>
        <b/>
        <sz val="9"/>
        <color indexed="8"/>
        <rFont val="Tahoma"/>
        <family val="2"/>
      </rPr>
      <t xml:space="preserve"> </t>
    </r>
    <r>
      <rPr>
        <b/>
        <sz val="9"/>
        <color indexed="8"/>
        <rFont val="돋움"/>
        <family val="3"/>
        <charset val="129"/>
      </rPr>
      <t xml:space="preserve">잔액
</t>
    </r>
    <r>
      <rPr>
        <b/>
        <sz val="9"/>
        <color indexed="8"/>
        <rFont val="Tahoma"/>
        <family val="2"/>
      </rPr>
      <t>5)</t>
    </r>
    <phoneticPr fontId="2" type="noConversion"/>
  </si>
  <si>
    <t>미사용 Committed Line6)</t>
  </si>
  <si>
    <t>국공채9)</t>
  </si>
  <si>
    <r>
      <rPr>
        <b/>
        <sz val="9"/>
        <color indexed="8"/>
        <rFont val="돋움"/>
        <family val="3"/>
        <charset val="129"/>
      </rPr>
      <t>헤어컷</t>
    </r>
    <r>
      <rPr>
        <b/>
        <sz val="9"/>
        <color indexed="8"/>
        <rFont val="Tahoma"/>
        <family val="2"/>
      </rPr>
      <t xml:space="preserve"> </t>
    </r>
    <r>
      <rPr>
        <b/>
        <sz val="9"/>
        <color indexed="8"/>
        <rFont val="돋움"/>
        <family val="3"/>
        <charset val="129"/>
      </rPr>
      <t xml:space="preserve">비율
</t>
    </r>
    <r>
      <rPr>
        <b/>
        <sz val="9"/>
        <color indexed="8"/>
        <rFont val="Tahoma"/>
        <family val="2"/>
      </rPr>
      <t>10)</t>
    </r>
    <phoneticPr fontId="2" type="noConversion"/>
  </si>
  <si>
    <r>
      <rPr>
        <b/>
        <sz val="9"/>
        <color indexed="8"/>
        <rFont val="돋움"/>
        <family val="3"/>
        <charset val="129"/>
      </rPr>
      <t>가용</t>
    </r>
    <r>
      <rPr>
        <b/>
        <sz val="9"/>
        <color indexed="8"/>
        <rFont val="Tahoma"/>
        <family val="2"/>
      </rPr>
      <t xml:space="preserve"> </t>
    </r>
    <r>
      <rPr>
        <b/>
        <sz val="9"/>
        <color indexed="8"/>
        <rFont val="돋움"/>
        <family val="3"/>
        <charset val="129"/>
      </rPr>
      <t xml:space="preserve">외화여유자금
</t>
    </r>
    <r>
      <rPr>
        <b/>
        <sz val="9"/>
        <color indexed="8"/>
        <rFont val="Tahoma"/>
        <family val="2"/>
      </rPr>
      <t>11)</t>
    </r>
    <phoneticPr fontId="2" type="noConversion"/>
  </si>
  <si>
    <r>
      <t>3</t>
    </r>
    <r>
      <rPr>
        <b/>
        <sz val="9"/>
        <color indexed="8"/>
        <rFont val="돋움"/>
        <family val="3"/>
        <charset val="129"/>
      </rPr>
      <t>개월이내
만기도래</t>
    </r>
    <r>
      <rPr>
        <b/>
        <sz val="9"/>
        <color indexed="8"/>
        <rFont val="Tahoma"/>
        <family val="2"/>
      </rPr>
      <t xml:space="preserve"> </t>
    </r>
    <r>
      <rPr>
        <b/>
        <sz val="9"/>
        <color indexed="8"/>
        <rFont val="돋움"/>
        <family val="3"/>
        <charset val="129"/>
      </rPr>
      <t xml:space="preserve">차입금
</t>
    </r>
    <r>
      <rPr>
        <b/>
        <sz val="9"/>
        <color indexed="8"/>
        <rFont val="Tahoma"/>
        <family val="2"/>
      </rPr>
      <t>12)</t>
    </r>
    <phoneticPr fontId="2" type="noConversion"/>
  </si>
  <si>
    <r>
      <rPr>
        <b/>
        <sz val="9"/>
        <color indexed="8"/>
        <rFont val="돋움"/>
        <family val="3"/>
        <charset val="129"/>
      </rPr>
      <t>차입대비
가용</t>
    </r>
    <r>
      <rPr>
        <b/>
        <sz val="9"/>
        <color indexed="8"/>
        <rFont val="Tahoma"/>
        <family val="2"/>
      </rPr>
      <t xml:space="preserve"> </t>
    </r>
    <r>
      <rPr>
        <b/>
        <sz val="9"/>
        <color indexed="8"/>
        <rFont val="돋움"/>
        <family val="3"/>
        <charset val="129"/>
      </rPr>
      <t>여유자금
비율</t>
    </r>
    <r>
      <rPr>
        <b/>
        <sz val="9"/>
        <color indexed="8"/>
        <rFont val="Tahoma"/>
        <family val="2"/>
      </rPr>
      <t>(%)
13)</t>
    </r>
    <phoneticPr fontId="2" type="noConversion"/>
  </si>
  <si>
    <r>
      <rPr>
        <b/>
        <sz val="9"/>
        <color indexed="8"/>
        <rFont val="돋움"/>
        <family val="3"/>
        <charset val="129"/>
      </rPr>
      <t>미사용</t>
    </r>
    <r>
      <rPr>
        <b/>
        <sz val="9"/>
        <color indexed="8"/>
        <rFont val="Tahoma"/>
        <family val="2"/>
      </rPr>
      <t xml:space="preserve"> Committed Line </t>
    </r>
    <r>
      <rPr>
        <b/>
        <sz val="9"/>
        <color indexed="8"/>
        <rFont val="돋움"/>
        <family val="3"/>
        <charset val="129"/>
      </rPr>
      <t>중</t>
    </r>
    <r>
      <rPr>
        <b/>
        <sz val="9"/>
        <color indexed="8"/>
        <rFont val="Tahoma"/>
        <family val="2"/>
      </rPr>
      <t xml:space="preserve"> </t>
    </r>
    <r>
      <rPr>
        <b/>
        <sz val="9"/>
        <color indexed="8"/>
        <rFont val="돋움"/>
        <family val="3"/>
        <charset val="129"/>
      </rPr>
      <t>제약없는</t>
    </r>
    <r>
      <rPr>
        <b/>
        <sz val="9"/>
        <color indexed="8"/>
        <rFont val="Tahoma"/>
        <family val="2"/>
      </rPr>
      <t xml:space="preserve"> </t>
    </r>
    <r>
      <rPr>
        <b/>
        <sz val="9"/>
        <color indexed="8"/>
        <rFont val="돋움"/>
        <family val="3"/>
        <charset val="129"/>
      </rPr>
      <t xml:space="preserve">금액
</t>
    </r>
    <r>
      <rPr>
        <b/>
        <sz val="9"/>
        <color indexed="8"/>
        <rFont val="Tahoma"/>
        <family val="2"/>
      </rPr>
      <t>7)</t>
    </r>
    <phoneticPr fontId="2" type="noConversion"/>
  </si>
  <si>
    <r>
      <rPr>
        <b/>
        <sz val="9"/>
        <color indexed="8"/>
        <rFont val="돋움"/>
        <family val="3"/>
        <charset val="129"/>
      </rPr>
      <t>미사용</t>
    </r>
    <r>
      <rPr>
        <b/>
        <sz val="9"/>
        <color indexed="8"/>
        <rFont val="Tahoma"/>
        <family val="2"/>
      </rPr>
      <t xml:space="preserve"> Committed Line </t>
    </r>
    <r>
      <rPr>
        <b/>
        <sz val="9"/>
        <color indexed="8"/>
        <rFont val="돋움"/>
        <family val="3"/>
        <charset val="129"/>
      </rPr>
      <t>중</t>
    </r>
    <r>
      <rPr>
        <b/>
        <sz val="9"/>
        <color indexed="8"/>
        <rFont val="Tahoma"/>
        <family val="2"/>
      </rPr>
      <t xml:space="preserve"> </t>
    </r>
    <r>
      <rPr>
        <b/>
        <sz val="9"/>
        <color indexed="8"/>
        <rFont val="돋움"/>
        <family val="3"/>
        <charset val="129"/>
      </rPr>
      <t>제약있는</t>
    </r>
    <r>
      <rPr>
        <b/>
        <sz val="9"/>
        <color indexed="8"/>
        <rFont val="Tahoma"/>
        <family val="2"/>
      </rPr>
      <t xml:space="preserve"> </t>
    </r>
    <r>
      <rPr>
        <b/>
        <sz val="9"/>
        <color indexed="8"/>
        <rFont val="돋움"/>
        <family val="3"/>
        <charset val="129"/>
      </rPr>
      <t xml:space="preserve">금액
</t>
    </r>
    <r>
      <rPr>
        <b/>
        <sz val="9"/>
        <color indexed="8"/>
        <rFont val="Tahoma"/>
        <family val="2"/>
      </rPr>
      <t>8)</t>
    </r>
    <phoneticPr fontId="2" type="noConversion"/>
  </si>
  <si>
    <t>美국채</t>
  </si>
  <si>
    <t>기타 국공채</t>
  </si>
  <si>
    <t>03.04</t>
    <phoneticPr fontId="2" type="noConversion"/>
  </si>
  <si>
    <t>03.05</t>
    <phoneticPr fontId="2" type="noConversion"/>
  </si>
  <si>
    <t>03.06</t>
    <phoneticPr fontId="2" type="noConversion"/>
  </si>
  <si>
    <t>03.09</t>
    <phoneticPr fontId="2" type="noConversion"/>
  </si>
  <si>
    <t>03.10</t>
    <phoneticPr fontId="2" type="noConversion"/>
  </si>
  <si>
    <t>03.11</t>
    <phoneticPr fontId="2" type="noConversion"/>
  </si>
  <si>
    <t>03.12</t>
    <phoneticPr fontId="2" type="noConversion"/>
  </si>
  <si>
    <t>03.13</t>
    <phoneticPr fontId="2" type="noConversion"/>
  </si>
  <si>
    <t>03.16</t>
    <phoneticPr fontId="2" type="noConversion"/>
  </si>
  <si>
    <t>03.17</t>
    <phoneticPr fontId="2" type="noConversion"/>
  </si>
  <si>
    <t>03.18</t>
    <phoneticPr fontId="2" type="noConversion"/>
  </si>
  <si>
    <t>03.19</t>
    <phoneticPr fontId="2" type="noConversion"/>
  </si>
  <si>
    <t>03.20</t>
    <phoneticPr fontId="2" type="noConversion"/>
  </si>
  <si>
    <t>03.23</t>
    <phoneticPr fontId="2" type="noConversion"/>
  </si>
  <si>
    <t>03.24</t>
    <phoneticPr fontId="2" type="noConversion"/>
  </si>
  <si>
    <t>03.25</t>
    <phoneticPr fontId="2" type="noConversion"/>
  </si>
  <si>
    <t>03.26</t>
    <phoneticPr fontId="2" type="noConversion"/>
  </si>
  <si>
    <t>03.27</t>
    <phoneticPr fontId="2" type="noConversion"/>
  </si>
  <si>
    <t>03.30</t>
    <phoneticPr fontId="2" type="noConversion"/>
  </si>
  <si>
    <t>03.31</t>
    <phoneticPr fontId="2" type="noConversion"/>
  </si>
  <si>
    <t>04.01</t>
    <phoneticPr fontId="2" type="noConversion"/>
  </si>
  <si>
    <t>04.02</t>
    <phoneticPr fontId="2" type="noConversion"/>
  </si>
  <si>
    <t>04.03</t>
    <phoneticPr fontId="2" type="noConversion"/>
  </si>
  <si>
    <t>04.06</t>
    <phoneticPr fontId="2" type="noConversion"/>
  </si>
  <si>
    <t>04.07</t>
    <phoneticPr fontId="2" type="noConversion"/>
  </si>
  <si>
    <t>04.08</t>
    <phoneticPr fontId="2" type="noConversion"/>
  </si>
  <si>
    <t>04.09</t>
    <phoneticPr fontId="2" type="noConversion"/>
  </si>
  <si>
    <t>04.10</t>
    <phoneticPr fontId="2" type="noConversion"/>
  </si>
  <si>
    <t>04.13</t>
    <phoneticPr fontId="2" type="noConversion"/>
  </si>
  <si>
    <t>04.14</t>
    <phoneticPr fontId="2" type="noConversion"/>
  </si>
  <si>
    <t>04.15</t>
    <phoneticPr fontId="2" type="noConversion"/>
  </si>
  <si>
    <t>04.16</t>
    <phoneticPr fontId="2" type="noConversion"/>
  </si>
  <si>
    <t>04.17</t>
    <phoneticPr fontId="2" type="noConversion"/>
  </si>
  <si>
    <t>04.20</t>
    <phoneticPr fontId="2" type="noConversion"/>
  </si>
  <si>
    <t>04.21</t>
    <phoneticPr fontId="2" type="noConversion"/>
  </si>
  <si>
    <t>04.22</t>
    <phoneticPr fontId="2" type="noConversion"/>
  </si>
  <si>
    <t>04.23</t>
    <phoneticPr fontId="2" type="noConversion"/>
  </si>
  <si>
    <t>04.24</t>
    <phoneticPr fontId="2" type="noConversion"/>
  </si>
  <si>
    <t>04.27</t>
    <phoneticPr fontId="2" type="noConversion"/>
  </si>
  <si>
    <t>04.28</t>
    <phoneticPr fontId="2" type="noConversion"/>
  </si>
  <si>
    <t>04.29</t>
    <phoneticPr fontId="2" type="noConversion"/>
  </si>
  <si>
    <t>04.30</t>
    <phoneticPr fontId="2" type="noConversion"/>
  </si>
  <si>
    <t>03.03</t>
    <phoneticPr fontId="2" type="noConversion"/>
  </si>
  <si>
    <t>05.04</t>
    <phoneticPr fontId="2" type="noConversion"/>
  </si>
  <si>
    <t>05.06</t>
    <phoneticPr fontId="2" type="noConversion"/>
  </si>
  <si>
    <t>05.07</t>
    <phoneticPr fontId="2" type="noConversion"/>
  </si>
  <si>
    <t>05.08</t>
    <phoneticPr fontId="2" type="noConversion"/>
  </si>
  <si>
    <t>05.11</t>
    <phoneticPr fontId="2" type="noConversion"/>
  </si>
  <si>
    <t>05.12</t>
    <phoneticPr fontId="2" type="noConversion"/>
  </si>
  <si>
    <t>05.13</t>
    <phoneticPr fontId="2" type="noConversion"/>
  </si>
  <si>
    <t>05.14</t>
    <phoneticPr fontId="2" type="noConversion"/>
  </si>
  <si>
    <t>05.15</t>
    <phoneticPr fontId="2" type="noConversion"/>
  </si>
  <si>
    <t>05.18</t>
    <phoneticPr fontId="2" type="noConversion"/>
  </si>
  <si>
    <t>05.19</t>
    <phoneticPr fontId="2" type="noConversion"/>
  </si>
  <si>
    <t>05.20</t>
    <phoneticPr fontId="2" type="noConversion"/>
  </si>
  <si>
    <t>05.21</t>
    <phoneticPr fontId="2" type="noConversion"/>
  </si>
  <si>
    <t>05.22</t>
    <phoneticPr fontId="2" type="noConversion"/>
  </si>
  <si>
    <t>05.26</t>
    <phoneticPr fontId="2" type="noConversion"/>
  </si>
  <si>
    <t>05.27</t>
    <phoneticPr fontId="2" type="noConversion"/>
  </si>
  <si>
    <t>05.28</t>
    <phoneticPr fontId="2" type="noConversion"/>
  </si>
  <si>
    <t>05.29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</si>
</sst>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0.00_);[Red]\(#,##0.00\)"/>
    <numFmt numFmtId="182" formatCode="_-* #,##0_-;\-* #,##0_-;_-* &quot;-&quot;_-;_-@_-"/>
    <numFmt numFmtId="185" formatCode="_ * #,##0_ ;_ * \-#,##0_ ;_ * &quot;-&quot;_ ;_ @_ 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indexed="8"/>
      <name val="Tahoma"/>
      <family val="2"/>
    </font>
    <font>
      <b/>
      <sz val="9"/>
      <color indexed="8"/>
      <name val="Tahoma"/>
      <family val="2"/>
    </font>
    <font>
      <b/>
      <sz val="9"/>
      <color indexed="8"/>
      <name val="돋움"/>
      <family val="3"/>
      <charset val="129"/>
    </font>
    <font>
      <sz val="10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"/>
      <name val="돋움"/>
      <family val="3"/>
      <charset val="129"/>
    </font>
    <font>
      <sz val="11"/>
      <color indexed="8"/>
      <name val="맑은 고딕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0F8FF"/>
        <bgColor indexed="64"/>
      </patternFill>
    </fill>
    <fill>
      <patternFill patternType="lightGray"/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</fills>
  <borders count="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1">
    <xf numFmtId="0" fontId="0" fillId="0" borderId="0">
      <alignment vertical="center"/>
    </xf>
    <xf numFmtId="182" fontId="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/>
    <xf numFmtId="0" fontId="13" fillId="8" borderId="5" applyFont="0" applyBorder="0">
      <alignment horizontal="center" wrapText="1"/>
    </xf>
    <xf numFmtId="0" fontId="14" fillId="0" borderId="0" applyNumberFormat="0" applyFill="0" applyBorder="0" applyAlignment="0" applyProtection="0"/>
    <xf numFmtId="182" fontId="11" fillId="0" borderId="0" applyFont="0" applyFill="0" applyBorder="0" applyAlignment="0" applyProtection="0">
      <alignment vertical="center"/>
    </xf>
    <xf numFmtId="3" fontId="15" fillId="9" borderId="2" applyFont="0">
      <alignment horizontal="right" vertical="center"/>
      <protection locked="0"/>
    </xf>
    <xf numFmtId="185" fontId="15" fillId="8" borderId="2" applyFont="0">
      <alignment horizontal="right" vertical="center"/>
    </xf>
    <xf numFmtId="3" fontId="15" fillId="8" borderId="2" applyFont="0">
      <alignment horizontal="right" vertical="center"/>
    </xf>
    <xf numFmtId="0" fontId="15" fillId="10" borderId="2" applyNumberFormat="0" applyFont="0" applyBorder="0">
      <alignment horizontal="center" vertical="center"/>
    </xf>
    <xf numFmtId="3" fontId="15" fillId="11" borderId="2" applyFont="0">
      <alignment horizontal="right" vertical="center"/>
      <protection locked="0"/>
    </xf>
    <xf numFmtId="0" fontId="15" fillId="12" borderId="5" applyNumberFormat="0" applyFont="0" applyBorder="0" applyProtection="0">
      <alignment horizontal="left" vertical="center"/>
    </xf>
    <xf numFmtId="9" fontId="15" fillId="12" borderId="2" applyFont="0" applyProtection="0">
      <alignment horizontal="right" vertical="center"/>
    </xf>
    <xf numFmtId="0" fontId="13" fillId="8" borderId="5" applyFont="0" applyBorder="0">
      <alignment horizontal="center" wrapText="1"/>
    </xf>
    <xf numFmtId="3" fontId="15" fillId="9" borderId="2" applyFont="0">
      <alignment horizontal="right" vertical="center"/>
      <protection locked="0"/>
    </xf>
    <xf numFmtId="0" fontId="12" fillId="0" borderId="0">
      <alignment vertical="center"/>
    </xf>
    <xf numFmtId="3" fontId="15" fillId="11" borderId="2" applyFont="0">
      <alignment horizontal="right" vertical="center"/>
      <protection locked="0"/>
    </xf>
    <xf numFmtId="0" fontId="12" fillId="0" borderId="0"/>
    <xf numFmtId="41" fontId="16" fillId="0" borderId="0" applyFont="0" applyFill="0" applyBorder="0" applyAlignment="0" applyProtection="0"/>
    <xf numFmtId="0" fontId="17" fillId="0" borderId="0">
      <alignment vertical="center"/>
    </xf>
  </cellStyleXfs>
  <cellXfs count="24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2" borderId="0" xfId="0" applyFont="1" applyFill="1" applyAlignment="1">
      <alignment horizontal="right" vertical="center"/>
    </xf>
    <xf numFmtId="0" fontId="4" fillId="3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3" fontId="4" fillId="0" borderId="2" xfId="0" applyNumberFormat="1" applyFont="1" applyBorder="1" applyAlignment="1"/>
    <xf numFmtId="3" fontId="7" fillId="5" borderId="2" xfId="0" applyNumberFormat="1" applyFont="1" applyFill="1" applyBorder="1" applyAlignment="1"/>
    <xf numFmtId="3" fontId="7" fillId="6" borderId="2" xfId="0" applyNumberFormat="1" applyFont="1" applyFill="1" applyBorder="1" applyAlignment="1"/>
    <xf numFmtId="3" fontId="7" fillId="0" borderId="2" xfId="0" applyNumberFormat="1" applyFont="1" applyBorder="1" applyAlignment="1"/>
    <xf numFmtId="4" fontId="4" fillId="0" borderId="2" xfId="0" applyNumberFormat="1" applyFont="1" applyBorder="1" applyAlignment="1"/>
    <xf numFmtId="49" fontId="0" fillId="2" borderId="0" xfId="0" applyNumberFormat="1" applyFill="1">
      <alignment vertical="center"/>
    </xf>
    <xf numFmtId="0" fontId="0" fillId="2" borderId="2" xfId="0" applyFill="1" applyBorder="1">
      <alignment vertical="center"/>
    </xf>
    <xf numFmtId="49" fontId="0" fillId="2" borderId="2" xfId="0" applyNumberFormat="1" applyFill="1" applyBorder="1">
      <alignment vertical="center"/>
    </xf>
    <xf numFmtId="0" fontId="5" fillId="4" borderId="3" xfId="0" applyFont="1" applyFill="1" applyBorder="1" applyAlignment="1">
      <alignment horizontal="center" vertical="center" wrapText="1"/>
    </xf>
    <xf numFmtId="3" fontId="5" fillId="4" borderId="4" xfId="0" applyNumberFormat="1" applyFont="1" applyFill="1" applyBorder="1" applyAlignment="1">
      <alignment horizontal="center" vertical="center" wrapText="1"/>
    </xf>
    <xf numFmtId="3" fontId="5" fillId="4" borderId="4" xfId="0" applyNumberFormat="1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5" fillId="7" borderId="4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3" fontId="7" fillId="7" borderId="2" xfId="0" applyNumberFormat="1" applyFont="1" applyFill="1" applyBorder="1" applyAlignment="1"/>
    <xf numFmtId="176" fontId="7" fillId="7" borderId="2" xfId="0" applyNumberFormat="1" applyFont="1" applyFill="1" applyBorder="1" applyAlignment="1"/>
    <xf numFmtId="0" fontId="0" fillId="2" borderId="2" xfId="0" applyFill="1" applyBorder="1">
      <alignment vertical="center"/>
    </xf>
  </cellXfs>
  <cellStyles count="21">
    <cellStyle name="greyed" xfId="10" xr:uid="{7E6062EF-C46A-49BA-B513-C25A6C835546}"/>
    <cellStyle name="Heading 2" xfId="5" xr:uid="{3EF88F96-6E24-4904-8682-689E9D2529EE}"/>
    <cellStyle name="HeadingTable" xfId="4" xr:uid="{494E9945-A418-4132-AD64-DE2572CE4D89}"/>
    <cellStyle name="HeadingTable 3" xfId="14" xr:uid="{67EC3804-6848-4147-9E59-D00EC7FF96DE}"/>
    <cellStyle name="highlightPercentage" xfId="13" xr:uid="{FC682F2E-CC16-4654-88B4-28336B52A41E}"/>
    <cellStyle name="highlightText" xfId="12" xr:uid="{417CAAFF-CAA5-4070-ADF8-20518224026D}"/>
    <cellStyle name="inputExposure" xfId="7" xr:uid="{21262E99-3E22-4E0B-BA29-327FE7C8E092}"/>
    <cellStyle name="inputExposure 13" xfId="15" xr:uid="{52EE2E8E-F0C1-451F-84D2-75EB44402C30}"/>
    <cellStyle name="optionalExposure" xfId="17" xr:uid="{08686609-4573-4483-BAB6-343DF58C67AA}"/>
    <cellStyle name="optionalExposure 12" xfId="11" xr:uid="{07CB6DF6-4EB1-4C8C-896C-A6198F9594C7}"/>
    <cellStyle name="showExposure" xfId="9" xr:uid="{84B86283-2C19-474E-9A2A-E22492394AFA}"/>
    <cellStyle name="showParameterE" xfId="8" xr:uid="{B3C23E3B-5CBA-4645-AAEE-893794988838}"/>
    <cellStyle name="쉼표 [0] 2" xfId="1" xr:uid="{E46D1F65-7618-47BF-802F-F4B84AEDAC63}"/>
    <cellStyle name="쉼표 [0] 3" xfId="19" xr:uid="{01CE30DF-9834-4BFB-8E13-EB8182B45BD5}"/>
    <cellStyle name="쉼표 [0] 3 3 2" xfId="6" xr:uid="{F4EB60E6-4FAB-4665-A9C7-C197F89F8259}"/>
    <cellStyle name="표준" xfId="0" builtinId="0"/>
    <cellStyle name="표준 12 4 2" xfId="2" xr:uid="{6BED59FD-54C1-493C-8ACF-47427C645B2D}"/>
    <cellStyle name="표준 2" xfId="18" xr:uid="{02B6AB31-CB06-4291-981D-D4FA55B74316}"/>
    <cellStyle name="표준 34" xfId="20" xr:uid="{D61123C2-96F6-45C9-A890-C6B52CB7558F}"/>
    <cellStyle name="표준 5" xfId="16" xr:uid="{0407DC61-B281-4C7A-8BCE-3DF8895D404F}"/>
    <cellStyle name="표준 6 2" xfId="3" xr:uid="{F9DBE0E3-9928-4593-AC52-99155C804A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76700-3BEA-43B4-A724-55EF722031FA}">
  <sheetPr>
    <tabColor theme="8"/>
  </sheetPr>
  <dimension ref="A1:N83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N3" sqref="N3:N4"/>
    </sheetView>
  </sheetViews>
  <sheetFormatPr defaultRowHeight="16.5" x14ac:dyDescent="0.3"/>
  <cols>
    <col min="1" max="1" width="9" style="12"/>
    <col min="2" max="4" width="13.625" style="1" customWidth="1"/>
    <col min="5" max="11" width="9" style="1"/>
    <col min="12" max="12" width="9" style="18"/>
    <col min="13" max="13" width="9" style="1"/>
    <col min="14" max="14" width="9" style="18"/>
    <col min="15" max="16384" width="9" style="1"/>
  </cols>
  <sheetData>
    <row r="1" spans="1:14" x14ac:dyDescent="0.3">
      <c r="D1" s="2" t="s">
        <v>0</v>
      </c>
    </row>
    <row r="2" spans="1:14" x14ac:dyDescent="0.3">
      <c r="B2" s="3" t="s">
        <v>1</v>
      </c>
      <c r="C2" s="3" t="s">
        <v>2</v>
      </c>
      <c r="D2" s="3" t="s">
        <v>3</v>
      </c>
    </row>
    <row r="3" spans="1:14" ht="16.5" customHeight="1" x14ac:dyDescent="0.3"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5" t="s">
        <v>9</v>
      </c>
      <c r="H3" s="6"/>
      <c r="I3" s="5" t="s">
        <v>10</v>
      </c>
      <c r="J3" s="6"/>
      <c r="K3" s="4" t="s">
        <v>11</v>
      </c>
      <c r="L3" s="19" t="s">
        <v>12</v>
      </c>
      <c r="M3" s="4" t="s">
        <v>13</v>
      </c>
      <c r="N3" s="19" t="s">
        <v>14</v>
      </c>
    </row>
    <row r="4" spans="1:14" ht="56.25" customHeight="1" x14ac:dyDescent="0.3">
      <c r="B4" s="15"/>
      <c r="C4" s="15"/>
      <c r="D4" s="15"/>
      <c r="E4" s="15"/>
      <c r="F4" s="15"/>
      <c r="G4" s="16" t="s">
        <v>15</v>
      </c>
      <c r="H4" s="16" t="s">
        <v>16</v>
      </c>
      <c r="I4" s="17" t="s">
        <v>17</v>
      </c>
      <c r="J4" s="17" t="s">
        <v>18</v>
      </c>
      <c r="K4" s="15"/>
      <c r="L4" s="20"/>
      <c r="M4" s="15"/>
      <c r="N4" s="20"/>
    </row>
    <row r="5" spans="1:14" x14ac:dyDescent="0.2">
      <c r="A5" s="14" t="s">
        <v>61</v>
      </c>
      <c r="B5" s="7">
        <v>95</v>
      </c>
      <c r="C5" s="9">
        <v>103</v>
      </c>
      <c r="D5" s="10">
        <v>68</v>
      </c>
      <c r="E5" s="8">
        <v>0</v>
      </c>
      <c r="F5" s="8">
        <v>0</v>
      </c>
      <c r="G5" s="7">
        <v>138</v>
      </c>
      <c r="H5" s="8">
        <v>0</v>
      </c>
      <c r="I5" s="7">
        <v>92</v>
      </c>
      <c r="J5" s="7">
        <v>0</v>
      </c>
      <c r="K5" s="11">
        <v>0.12</v>
      </c>
      <c r="L5" s="21">
        <f>ROUND((B5+C5+E5-F5)*(1-K5)+G5+I5,0)</f>
        <v>404</v>
      </c>
      <c r="M5" s="7">
        <v>403</v>
      </c>
      <c r="N5" s="22">
        <f>L5/M5*100</f>
        <v>100.24813895781637</v>
      </c>
    </row>
    <row r="6" spans="1:14" x14ac:dyDescent="0.2">
      <c r="A6" s="14" t="s">
        <v>19</v>
      </c>
      <c r="B6" s="7">
        <v>1</v>
      </c>
      <c r="C6" s="9">
        <v>90</v>
      </c>
      <c r="D6" s="10">
        <v>76</v>
      </c>
      <c r="E6" s="8">
        <v>0</v>
      </c>
      <c r="F6" s="8">
        <v>0</v>
      </c>
      <c r="G6" s="7">
        <v>138</v>
      </c>
      <c r="H6" s="8">
        <v>0</v>
      </c>
      <c r="I6" s="7">
        <v>92</v>
      </c>
      <c r="J6" s="7">
        <v>0</v>
      </c>
      <c r="K6" s="11">
        <v>0.12</v>
      </c>
      <c r="L6" s="21">
        <f t="shared" ref="L6:L67" si="0">ROUND((B6+C6+E6-F6)*(1-K6)+G6+I6,0)</f>
        <v>310</v>
      </c>
      <c r="M6" s="7">
        <v>399</v>
      </c>
      <c r="N6" s="22">
        <f t="shared" ref="N6:N67" si="1">L6/M6*100</f>
        <v>77.694235588972433</v>
      </c>
    </row>
    <row r="7" spans="1:14" x14ac:dyDescent="0.2">
      <c r="A7" s="14" t="s">
        <v>20</v>
      </c>
      <c r="B7" s="13">
        <v>4</v>
      </c>
      <c r="C7" s="13">
        <v>101</v>
      </c>
      <c r="D7" s="13">
        <v>71</v>
      </c>
      <c r="E7" s="13">
        <v>0</v>
      </c>
      <c r="F7" s="13">
        <v>0</v>
      </c>
      <c r="G7" s="13">
        <v>138</v>
      </c>
      <c r="H7" s="13">
        <v>0</v>
      </c>
      <c r="I7" s="13">
        <v>92</v>
      </c>
      <c r="J7" s="13">
        <v>0</v>
      </c>
      <c r="K7" s="13">
        <v>0.12</v>
      </c>
      <c r="L7" s="21">
        <f t="shared" si="0"/>
        <v>322</v>
      </c>
      <c r="M7" s="13">
        <v>401</v>
      </c>
      <c r="N7" s="22">
        <f t="shared" si="1"/>
        <v>80.299251870324184</v>
      </c>
    </row>
    <row r="8" spans="1:14" x14ac:dyDescent="0.2">
      <c r="A8" s="14" t="s">
        <v>21</v>
      </c>
      <c r="B8" s="13">
        <v>1</v>
      </c>
      <c r="C8" s="13">
        <v>101</v>
      </c>
      <c r="D8" s="13">
        <v>70</v>
      </c>
      <c r="E8" s="13">
        <v>0</v>
      </c>
      <c r="F8" s="13">
        <v>0</v>
      </c>
      <c r="G8" s="13">
        <v>138</v>
      </c>
      <c r="H8" s="13">
        <v>0</v>
      </c>
      <c r="I8" s="13">
        <v>92</v>
      </c>
      <c r="J8" s="13">
        <v>0</v>
      </c>
      <c r="K8" s="13">
        <v>0.12</v>
      </c>
      <c r="L8" s="21">
        <f t="shared" si="0"/>
        <v>320</v>
      </c>
      <c r="M8" s="13">
        <v>401</v>
      </c>
      <c r="N8" s="22">
        <f t="shared" si="1"/>
        <v>79.800498753117211</v>
      </c>
    </row>
    <row r="9" spans="1:14" x14ac:dyDescent="0.2">
      <c r="A9" s="14" t="s">
        <v>22</v>
      </c>
      <c r="B9" s="13">
        <v>-37</v>
      </c>
      <c r="C9" s="13">
        <v>115</v>
      </c>
      <c r="D9" s="13">
        <v>76</v>
      </c>
      <c r="E9" s="13">
        <v>0</v>
      </c>
      <c r="F9" s="13">
        <v>0</v>
      </c>
      <c r="G9" s="13">
        <v>138</v>
      </c>
      <c r="H9" s="13">
        <v>0</v>
      </c>
      <c r="I9" s="13">
        <v>92</v>
      </c>
      <c r="J9" s="13">
        <v>0</v>
      </c>
      <c r="K9" s="13">
        <v>0.11</v>
      </c>
      <c r="L9" s="21">
        <f t="shared" si="0"/>
        <v>299</v>
      </c>
      <c r="M9" s="13">
        <v>402</v>
      </c>
      <c r="N9" s="22">
        <f t="shared" si="1"/>
        <v>74.378109452736325</v>
      </c>
    </row>
    <row r="10" spans="1:14" x14ac:dyDescent="0.2">
      <c r="A10" s="14" t="s">
        <v>23</v>
      </c>
      <c r="B10" s="13">
        <v>-33</v>
      </c>
      <c r="C10" s="13">
        <v>90</v>
      </c>
      <c r="D10" s="13">
        <v>64</v>
      </c>
      <c r="E10" s="13">
        <v>0</v>
      </c>
      <c r="F10" s="13">
        <v>0</v>
      </c>
      <c r="G10" s="13">
        <v>138</v>
      </c>
      <c r="H10" s="13">
        <v>0</v>
      </c>
      <c r="I10" s="13">
        <v>92</v>
      </c>
      <c r="J10" s="13">
        <v>0</v>
      </c>
      <c r="K10" s="13">
        <v>0.11</v>
      </c>
      <c r="L10" s="21">
        <f t="shared" si="0"/>
        <v>281</v>
      </c>
      <c r="M10" s="13">
        <v>409</v>
      </c>
      <c r="N10" s="22">
        <f t="shared" si="1"/>
        <v>68.704156479217602</v>
      </c>
    </row>
    <row r="11" spans="1:14" x14ac:dyDescent="0.2">
      <c r="A11" s="14" t="s">
        <v>24</v>
      </c>
      <c r="B11" s="13">
        <v>-52</v>
      </c>
      <c r="C11" s="13">
        <v>91</v>
      </c>
      <c r="D11" s="13">
        <v>77</v>
      </c>
      <c r="E11" s="13">
        <v>0</v>
      </c>
      <c r="F11" s="13">
        <v>0</v>
      </c>
      <c r="G11" s="13">
        <v>138</v>
      </c>
      <c r="H11" s="13">
        <v>0</v>
      </c>
      <c r="I11" s="13">
        <v>92</v>
      </c>
      <c r="J11" s="13">
        <v>0</v>
      </c>
      <c r="K11" s="13">
        <v>0.11</v>
      </c>
      <c r="L11" s="21">
        <f t="shared" si="0"/>
        <v>265</v>
      </c>
      <c r="M11" s="13">
        <v>408</v>
      </c>
      <c r="N11" s="22">
        <f t="shared" si="1"/>
        <v>64.950980392156865</v>
      </c>
    </row>
    <row r="12" spans="1:14" x14ac:dyDescent="0.2">
      <c r="A12" s="14" t="s">
        <v>25</v>
      </c>
      <c r="B12" s="13">
        <v>-2</v>
      </c>
      <c r="C12" s="13">
        <v>76</v>
      </c>
      <c r="D12" s="13">
        <v>84</v>
      </c>
      <c r="E12" s="13">
        <v>0</v>
      </c>
      <c r="F12" s="13">
        <v>0</v>
      </c>
      <c r="G12" s="13">
        <v>138</v>
      </c>
      <c r="H12" s="13">
        <v>0</v>
      </c>
      <c r="I12" s="13">
        <v>92</v>
      </c>
      <c r="J12" s="13">
        <v>0</v>
      </c>
      <c r="K12" s="13">
        <v>0.11</v>
      </c>
      <c r="L12" s="21">
        <f t="shared" si="0"/>
        <v>296</v>
      </c>
      <c r="M12" s="13">
        <v>406</v>
      </c>
      <c r="N12" s="22">
        <f t="shared" si="1"/>
        <v>72.906403940886705</v>
      </c>
    </row>
    <row r="13" spans="1:14" x14ac:dyDescent="0.2">
      <c r="A13" s="14" t="s">
        <v>26</v>
      </c>
      <c r="B13" s="13">
        <v>-22</v>
      </c>
      <c r="C13" s="13">
        <v>92</v>
      </c>
      <c r="D13" s="13">
        <v>91</v>
      </c>
      <c r="E13" s="13">
        <v>0</v>
      </c>
      <c r="F13" s="13">
        <v>0</v>
      </c>
      <c r="G13" s="13">
        <v>138</v>
      </c>
      <c r="H13" s="13">
        <v>0</v>
      </c>
      <c r="I13" s="13">
        <v>92</v>
      </c>
      <c r="J13" s="13">
        <v>0</v>
      </c>
      <c r="K13" s="13">
        <v>0.11</v>
      </c>
      <c r="L13" s="21">
        <f t="shared" si="0"/>
        <v>292</v>
      </c>
      <c r="M13" s="13">
        <v>385</v>
      </c>
      <c r="N13" s="22">
        <f t="shared" si="1"/>
        <v>75.84415584415585</v>
      </c>
    </row>
    <row r="14" spans="1:14" x14ac:dyDescent="0.2">
      <c r="A14" s="14" t="s">
        <v>27</v>
      </c>
      <c r="B14" s="13">
        <v>8</v>
      </c>
      <c r="C14" s="13">
        <v>96</v>
      </c>
      <c r="D14" s="13">
        <v>86</v>
      </c>
      <c r="E14" s="13">
        <v>0</v>
      </c>
      <c r="F14" s="13">
        <v>0</v>
      </c>
      <c r="G14" s="13">
        <v>138</v>
      </c>
      <c r="H14" s="13">
        <v>0</v>
      </c>
      <c r="I14" s="13">
        <v>92</v>
      </c>
      <c r="J14" s="13">
        <v>0</v>
      </c>
      <c r="K14" s="13">
        <v>0.11</v>
      </c>
      <c r="L14" s="21">
        <f t="shared" si="0"/>
        <v>323</v>
      </c>
      <c r="M14" s="13">
        <v>408</v>
      </c>
      <c r="N14" s="22">
        <f t="shared" si="1"/>
        <v>79.166666666666657</v>
      </c>
    </row>
    <row r="15" spans="1:14" x14ac:dyDescent="0.2">
      <c r="A15" s="14" t="s">
        <v>28</v>
      </c>
      <c r="B15" s="13">
        <v>0</v>
      </c>
      <c r="C15" s="13">
        <v>74</v>
      </c>
      <c r="D15" s="13">
        <v>96</v>
      </c>
      <c r="E15" s="13">
        <v>0</v>
      </c>
      <c r="F15" s="13">
        <v>0</v>
      </c>
      <c r="G15" s="13">
        <v>138</v>
      </c>
      <c r="H15" s="13">
        <v>0</v>
      </c>
      <c r="I15" s="13">
        <v>92</v>
      </c>
      <c r="J15" s="13">
        <v>0</v>
      </c>
      <c r="K15" s="13">
        <v>0.11</v>
      </c>
      <c r="L15" s="21">
        <f t="shared" si="0"/>
        <v>296</v>
      </c>
      <c r="M15" s="13">
        <v>413</v>
      </c>
      <c r="N15" s="22">
        <f t="shared" si="1"/>
        <v>71.670702179176757</v>
      </c>
    </row>
    <row r="16" spans="1:14" x14ac:dyDescent="0.2">
      <c r="A16" s="14" t="s">
        <v>29</v>
      </c>
      <c r="B16" s="13">
        <v>-48</v>
      </c>
      <c r="C16" s="13">
        <v>80</v>
      </c>
      <c r="D16" s="13">
        <v>83</v>
      </c>
      <c r="E16" s="13">
        <v>0</v>
      </c>
      <c r="F16" s="13">
        <v>0</v>
      </c>
      <c r="G16" s="13">
        <v>138</v>
      </c>
      <c r="H16" s="13">
        <v>0</v>
      </c>
      <c r="I16" s="13">
        <v>92</v>
      </c>
      <c r="J16" s="13">
        <v>0</v>
      </c>
      <c r="K16" s="13">
        <v>0.11</v>
      </c>
      <c r="L16" s="21">
        <f t="shared" si="0"/>
        <v>258</v>
      </c>
      <c r="M16" s="13">
        <v>407</v>
      </c>
      <c r="N16" s="22">
        <f t="shared" si="1"/>
        <v>63.390663390663391</v>
      </c>
    </row>
    <row r="17" spans="1:14" x14ac:dyDescent="0.2">
      <c r="A17" s="14" t="s">
        <v>30</v>
      </c>
      <c r="B17" s="13">
        <v>-27</v>
      </c>
      <c r="C17" s="13">
        <v>99</v>
      </c>
      <c r="D17" s="13">
        <v>70</v>
      </c>
      <c r="E17" s="13">
        <v>0</v>
      </c>
      <c r="F17" s="13">
        <v>0</v>
      </c>
      <c r="G17" s="13">
        <v>138</v>
      </c>
      <c r="H17" s="13">
        <v>0</v>
      </c>
      <c r="I17" s="13">
        <v>91</v>
      </c>
      <c r="J17" s="13">
        <v>0</v>
      </c>
      <c r="K17" s="13">
        <v>0.11</v>
      </c>
      <c r="L17" s="21">
        <f t="shared" si="0"/>
        <v>293</v>
      </c>
      <c r="M17" s="13">
        <v>411</v>
      </c>
      <c r="N17" s="22">
        <f t="shared" si="1"/>
        <v>71.289537712895381</v>
      </c>
    </row>
    <row r="18" spans="1:14" x14ac:dyDescent="0.2">
      <c r="A18" s="14" t="s">
        <v>31</v>
      </c>
      <c r="B18" s="13">
        <v>33</v>
      </c>
      <c r="C18" s="13">
        <v>110</v>
      </c>
      <c r="D18" s="13">
        <v>74</v>
      </c>
      <c r="E18" s="13">
        <v>0</v>
      </c>
      <c r="F18" s="13">
        <v>0</v>
      </c>
      <c r="G18" s="13">
        <v>138</v>
      </c>
      <c r="H18" s="13">
        <v>0</v>
      </c>
      <c r="I18" s="13">
        <v>91</v>
      </c>
      <c r="J18" s="13">
        <v>0</v>
      </c>
      <c r="K18" s="13">
        <v>0.11</v>
      </c>
      <c r="L18" s="21">
        <f t="shared" si="0"/>
        <v>356</v>
      </c>
      <c r="M18" s="13">
        <v>416</v>
      </c>
      <c r="N18" s="22">
        <f t="shared" si="1"/>
        <v>85.576923076923066</v>
      </c>
    </row>
    <row r="19" spans="1:14" x14ac:dyDescent="0.2">
      <c r="A19" s="14" t="s">
        <v>32</v>
      </c>
      <c r="B19" s="13">
        <v>32</v>
      </c>
      <c r="C19" s="13">
        <v>92</v>
      </c>
      <c r="D19" s="13">
        <v>57</v>
      </c>
      <c r="E19" s="13">
        <v>0</v>
      </c>
      <c r="F19" s="13">
        <v>0</v>
      </c>
      <c r="G19" s="13">
        <v>138</v>
      </c>
      <c r="H19" s="13">
        <v>0</v>
      </c>
      <c r="I19" s="13">
        <v>91</v>
      </c>
      <c r="J19" s="13">
        <v>0</v>
      </c>
      <c r="K19" s="13">
        <v>0.11</v>
      </c>
      <c r="L19" s="21">
        <f t="shared" si="0"/>
        <v>339</v>
      </c>
      <c r="M19" s="13">
        <v>409</v>
      </c>
      <c r="N19" s="22">
        <f t="shared" si="1"/>
        <v>82.88508557457213</v>
      </c>
    </row>
    <row r="20" spans="1:14" x14ac:dyDescent="0.2">
      <c r="A20" s="14" t="s">
        <v>33</v>
      </c>
      <c r="B20" s="13">
        <v>-17</v>
      </c>
      <c r="C20" s="13">
        <v>72</v>
      </c>
      <c r="D20" s="13">
        <v>56</v>
      </c>
      <c r="E20" s="13">
        <v>0</v>
      </c>
      <c r="F20" s="13">
        <v>0</v>
      </c>
      <c r="G20" s="13">
        <v>138</v>
      </c>
      <c r="H20" s="13">
        <v>0</v>
      </c>
      <c r="I20" s="13">
        <v>94</v>
      </c>
      <c r="J20" s="13">
        <v>0</v>
      </c>
      <c r="K20" s="13">
        <v>0.11</v>
      </c>
      <c r="L20" s="21">
        <f t="shared" si="0"/>
        <v>281</v>
      </c>
      <c r="M20" s="13">
        <v>411</v>
      </c>
      <c r="N20" s="22">
        <f t="shared" si="1"/>
        <v>68.369829683698299</v>
      </c>
    </row>
    <row r="21" spans="1:14" x14ac:dyDescent="0.2">
      <c r="A21" s="14" t="s">
        <v>34</v>
      </c>
      <c r="B21" s="13">
        <v>-28</v>
      </c>
      <c r="C21" s="13">
        <v>79</v>
      </c>
      <c r="D21" s="13">
        <v>51</v>
      </c>
      <c r="E21" s="13">
        <v>0</v>
      </c>
      <c r="F21" s="13">
        <v>0</v>
      </c>
      <c r="G21" s="13">
        <v>138</v>
      </c>
      <c r="H21" s="13">
        <v>0</v>
      </c>
      <c r="I21" s="13">
        <v>94</v>
      </c>
      <c r="J21" s="13">
        <v>0</v>
      </c>
      <c r="K21" s="13">
        <v>0.11</v>
      </c>
      <c r="L21" s="21">
        <f t="shared" si="0"/>
        <v>277</v>
      </c>
      <c r="M21" s="13">
        <v>412</v>
      </c>
      <c r="N21" s="22">
        <f t="shared" si="1"/>
        <v>67.233009708737868</v>
      </c>
    </row>
    <row r="22" spans="1:14" x14ac:dyDescent="0.2">
      <c r="A22" s="14" t="s">
        <v>35</v>
      </c>
      <c r="B22" s="13">
        <v>-37</v>
      </c>
      <c r="C22" s="13">
        <v>79</v>
      </c>
      <c r="D22" s="13">
        <v>58</v>
      </c>
      <c r="E22" s="13">
        <v>0</v>
      </c>
      <c r="F22" s="13">
        <v>0</v>
      </c>
      <c r="G22" s="13">
        <v>138</v>
      </c>
      <c r="H22" s="13">
        <v>0</v>
      </c>
      <c r="I22" s="13">
        <v>94</v>
      </c>
      <c r="J22" s="13">
        <v>0</v>
      </c>
      <c r="K22" s="13">
        <v>0.11</v>
      </c>
      <c r="L22" s="21">
        <f t="shared" si="0"/>
        <v>269</v>
      </c>
      <c r="M22" s="13">
        <v>417</v>
      </c>
      <c r="N22" s="22">
        <f t="shared" si="1"/>
        <v>64.508393285371696</v>
      </c>
    </row>
    <row r="23" spans="1:14" x14ac:dyDescent="0.2">
      <c r="A23" s="14" t="s">
        <v>36</v>
      </c>
      <c r="B23" s="13">
        <v>-13</v>
      </c>
      <c r="C23" s="13">
        <v>48</v>
      </c>
      <c r="D23" s="13">
        <v>53</v>
      </c>
      <c r="E23" s="13">
        <v>0</v>
      </c>
      <c r="F23" s="13">
        <v>0</v>
      </c>
      <c r="G23" s="13">
        <v>138</v>
      </c>
      <c r="H23" s="13">
        <v>0</v>
      </c>
      <c r="I23" s="13">
        <v>94</v>
      </c>
      <c r="J23" s="13">
        <v>0</v>
      </c>
      <c r="K23" s="13">
        <v>0.11</v>
      </c>
      <c r="L23" s="21">
        <f t="shared" si="0"/>
        <v>263</v>
      </c>
      <c r="M23" s="13">
        <v>359</v>
      </c>
      <c r="N23" s="22">
        <f t="shared" si="1"/>
        <v>73.259052924791092</v>
      </c>
    </row>
    <row r="24" spans="1:14" x14ac:dyDescent="0.2">
      <c r="A24" s="14" t="s">
        <v>37</v>
      </c>
      <c r="B24" s="13">
        <v>26</v>
      </c>
      <c r="C24" s="13">
        <v>41</v>
      </c>
      <c r="D24" s="13">
        <v>48</v>
      </c>
      <c r="E24" s="13">
        <v>0</v>
      </c>
      <c r="F24" s="13">
        <v>0</v>
      </c>
      <c r="G24" s="13">
        <v>138</v>
      </c>
      <c r="H24" s="13">
        <v>0</v>
      </c>
      <c r="I24" s="13">
        <v>94</v>
      </c>
      <c r="J24" s="13">
        <v>0</v>
      </c>
      <c r="K24" s="13">
        <v>0.11</v>
      </c>
      <c r="L24" s="21">
        <f t="shared" si="0"/>
        <v>292</v>
      </c>
      <c r="M24" s="13">
        <v>387</v>
      </c>
      <c r="N24" s="22">
        <f t="shared" si="1"/>
        <v>75.452196382428937</v>
      </c>
    </row>
    <row r="25" spans="1:14" x14ac:dyDescent="0.2">
      <c r="A25" s="14" t="s">
        <v>38</v>
      </c>
      <c r="B25" s="13">
        <v>-21</v>
      </c>
      <c r="C25" s="13">
        <v>71</v>
      </c>
      <c r="D25" s="13">
        <v>119</v>
      </c>
      <c r="E25" s="13">
        <v>0</v>
      </c>
      <c r="F25" s="13">
        <v>0</v>
      </c>
      <c r="G25" s="13">
        <v>138</v>
      </c>
      <c r="H25" s="13">
        <v>0</v>
      </c>
      <c r="I25" s="13">
        <v>94</v>
      </c>
      <c r="J25" s="13">
        <v>0</v>
      </c>
      <c r="K25" s="13">
        <v>0.12</v>
      </c>
      <c r="L25" s="21">
        <f t="shared" si="0"/>
        <v>276</v>
      </c>
      <c r="M25" s="13">
        <v>392</v>
      </c>
      <c r="N25" s="22">
        <f t="shared" si="1"/>
        <v>70.408163265306129</v>
      </c>
    </row>
    <row r="26" spans="1:14" x14ac:dyDescent="0.2">
      <c r="A26" s="14" t="s">
        <v>39</v>
      </c>
      <c r="B26" s="13">
        <v>20</v>
      </c>
      <c r="C26" s="13">
        <v>68</v>
      </c>
      <c r="D26" s="13">
        <v>61</v>
      </c>
      <c r="E26" s="13">
        <v>0</v>
      </c>
      <c r="F26" s="13">
        <v>0</v>
      </c>
      <c r="G26" s="13">
        <v>138</v>
      </c>
      <c r="H26" s="13">
        <v>0</v>
      </c>
      <c r="I26" s="13">
        <v>95</v>
      </c>
      <c r="J26" s="13">
        <v>0</v>
      </c>
      <c r="K26" s="13">
        <v>0.11</v>
      </c>
      <c r="L26" s="21">
        <f t="shared" si="0"/>
        <v>311</v>
      </c>
      <c r="M26" s="13">
        <v>387</v>
      </c>
      <c r="N26" s="22">
        <f t="shared" si="1"/>
        <v>80.361757105943155</v>
      </c>
    </row>
    <row r="27" spans="1:14" x14ac:dyDescent="0.2">
      <c r="A27" s="14" t="s">
        <v>40</v>
      </c>
      <c r="B27" s="13">
        <v>-35</v>
      </c>
      <c r="C27" s="13">
        <v>82</v>
      </c>
      <c r="D27" s="13">
        <v>79</v>
      </c>
      <c r="E27" s="13">
        <v>0</v>
      </c>
      <c r="F27" s="13">
        <v>0</v>
      </c>
      <c r="G27" s="13">
        <v>138</v>
      </c>
      <c r="H27" s="13">
        <v>0</v>
      </c>
      <c r="I27" s="13">
        <v>94</v>
      </c>
      <c r="J27" s="13">
        <v>1</v>
      </c>
      <c r="K27" s="13">
        <v>0.11</v>
      </c>
      <c r="L27" s="21">
        <f t="shared" si="0"/>
        <v>274</v>
      </c>
      <c r="M27" s="13">
        <v>387</v>
      </c>
      <c r="N27" s="22">
        <f t="shared" si="1"/>
        <v>70.801033591731269</v>
      </c>
    </row>
    <row r="28" spans="1:14" x14ac:dyDescent="0.2">
      <c r="A28" s="14" t="s">
        <v>41</v>
      </c>
      <c r="B28" s="13">
        <v>-50</v>
      </c>
      <c r="C28" s="13">
        <v>66</v>
      </c>
      <c r="D28" s="13">
        <v>81</v>
      </c>
      <c r="E28" s="13">
        <v>0</v>
      </c>
      <c r="F28" s="13">
        <v>0</v>
      </c>
      <c r="G28" s="13">
        <v>138</v>
      </c>
      <c r="H28" s="13">
        <v>0</v>
      </c>
      <c r="I28" s="13">
        <v>94</v>
      </c>
      <c r="J28" s="13">
        <v>1</v>
      </c>
      <c r="K28" s="13">
        <v>0.11</v>
      </c>
      <c r="L28" s="21">
        <v>246</v>
      </c>
      <c r="M28" s="13">
        <v>386</v>
      </c>
      <c r="N28" s="22">
        <v>63.730569948186535</v>
      </c>
    </row>
    <row r="29" spans="1:14" x14ac:dyDescent="0.2">
      <c r="A29" s="14" t="s">
        <v>42</v>
      </c>
      <c r="B29" s="13">
        <v>-53</v>
      </c>
      <c r="C29" s="13">
        <v>65</v>
      </c>
      <c r="D29" s="13">
        <v>82</v>
      </c>
      <c r="E29" s="13">
        <v>0</v>
      </c>
      <c r="F29" s="13">
        <v>0</v>
      </c>
      <c r="G29" s="13">
        <v>138</v>
      </c>
      <c r="H29" s="13">
        <v>0</v>
      </c>
      <c r="I29" s="13">
        <v>94</v>
      </c>
      <c r="J29" s="13">
        <v>1</v>
      </c>
      <c r="K29" s="13">
        <v>0.11</v>
      </c>
      <c r="L29" s="21">
        <f t="shared" si="0"/>
        <v>243</v>
      </c>
      <c r="M29" s="13">
        <v>390</v>
      </c>
      <c r="N29" s="22">
        <f t="shared" si="1"/>
        <v>62.307692307692307</v>
      </c>
    </row>
    <row r="30" spans="1:14" x14ac:dyDescent="0.2">
      <c r="A30" s="14" t="s">
        <v>43</v>
      </c>
      <c r="B30" s="13">
        <v>-91</v>
      </c>
      <c r="C30" s="13">
        <v>76</v>
      </c>
      <c r="D30" s="13">
        <v>78</v>
      </c>
      <c r="E30" s="13">
        <v>0</v>
      </c>
      <c r="F30" s="13">
        <v>0</v>
      </c>
      <c r="G30" s="13">
        <v>138</v>
      </c>
      <c r="H30" s="13">
        <v>0</v>
      </c>
      <c r="I30" s="13">
        <v>94</v>
      </c>
      <c r="J30" s="13">
        <v>1</v>
      </c>
      <c r="K30" s="13">
        <v>0.12</v>
      </c>
      <c r="L30" s="21">
        <f t="shared" si="0"/>
        <v>219</v>
      </c>
      <c r="M30" s="13">
        <v>359</v>
      </c>
      <c r="N30" s="22">
        <f t="shared" si="1"/>
        <v>61.002785515320333</v>
      </c>
    </row>
    <row r="31" spans="1:14" x14ac:dyDescent="0.2">
      <c r="A31" s="14" t="s">
        <v>44</v>
      </c>
      <c r="B31" s="13">
        <v>-72</v>
      </c>
      <c r="C31" s="13">
        <v>60</v>
      </c>
      <c r="D31" s="13">
        <v>91</v>
      </c>
      <c r="E31" s="13">
        <v>0</v>
      </c>
      <c r="F31" s="13">
        <v>0</v>
      </c>
      <c r="G31" s="13">
        <v>138</v>
      </c>
      <c r="H31" s="13">
        <v>0</v>
      </c>
      <c r="I31" s="13">
        <v>95</v>
      </c>
      <c r="J31" s="13">
        <v>1</v>
      </c>
      <c r="K31" s="13">
        <v>0.12</v>
      </c>
      <c r="L31" s="21">
        <f t="shared" si="0"/>
        <v>222</v>
      </c>
      <c r="M31" s="13">
        <v>360</v>
      </c>
      <c r="N31" s="22">
        <f t="shared" si="1"/>
        <v>61.666666666666671</v>
      </c>
    </row>
    <row r="32" spans="1:14" x14ac:dyDescent="0.2">
      <c r="A32" s="14" t="s">
        <v>45</v>
      </c>
      <c r="B32" s="13">
        <v>-118</v>
      </c>
      <c r="C32" s="13">
        <v>64</v>
      </c>
      <c r="D32" s="13">
        <v>102</v>
      </c>
      <c r="E32" s="13">
        <v>0</v>
      </c>
      <c r="F32" s="13">
        <v>0</v>
      </c>
      <c r="G32" s="13">
        <v>138</v>
      </c>
      <c r="H32" s="13">
        <v>0</v>
      </c>
      <c r="I32" s="13">
        <v>95</v>
      </c>
      <c r="J32" s="13">
        <v>1</v>
      </c>
      <c r="K32" s="13">
        <v>0.12</v>
      </c>
      <c r="L32" s="21">
        <f t="shared" si="0"/>
        <v>185</v>
      </c>
      <c r="M32" s="13">
        <v>360</v>
      </c>
      <c r="N32" s="22">
        <f t="shared" si="1"/>
        <v>51.388888888888886</v>
      </c>
    </row>
    <row r="33" spans="1:14" x14ac:dyDescent="0.2">
      <c r="A33" s="14" t="s">
        <v>46</v>
      </c>
      <c r="B33" s="13">
        <v>-38</v>
      </c>
      <c r="C33" s="13">
        <v>63</v>
      </c>
      <c r="D33" s="13">
        <v>109</v>
      </c>
      <c r="E33" s="13">
        <v>0</v>
      </c>
      <c r="F33" s="13">
        <v>0</v>
      </c>
      <c r="G33" s="13">
        <v>138</v>
      </c>
      <c r="H33" s="13">
        <v>0</v>
      </c>
      <c r="I33" s="13">
        <v>95</v>
      </c>
      <c r="J33" s="13">
        <v>1</v>
      </c>
      <c r="K33" s="13">
        <v>0.11</v>
      </c>
      <c r="L33" s="21">
        <f t="shared" si="0"/>
        <v>255</v>
      </c>
      <c r="M33" s="13">
        <v>368</v>
      </c>
      <c r="N33" s="22">
        <f t="shared" si="1"/>
        <v>69.293478260869563</v>
      </c>
    </row>
    <row r="34" spans="1:14" x14ac:dyDescent="0.2">
      <c r="A34" s="14" t="s">
        <v>47</v>
      </c>
      <c r="B34" s="13">
        <v>-46</v>
      </c>
      <c r="C34" s="13">
        <v>41</v>
      </c>
      <c r="D34" s="13">
        <v>109</v>
      </c>
      <c r="E34" s="13">
        <v>0</v>
      </c>
      <c r="F34" s="13">
        <v>0</v>
      </c>
      <c r="G34" s="13">
        <v>138</v>
      </c>
      <c r="H34" s="13">
        <v>0</v>
      </c>
      <c r="I34" s="13">
        <v>94</v>
      </c>
      <c r="J34" s="13">
        <v>1</v>
      </c>
      <c r="K34" s="13">
        <v>0.11</v>
      </c>
      <c r="L34" s="21">
        <f t="shared" si="0"/>
        <v>228</v>
      </c>
      <c r="M34" s="13">
        <v>390</v>
      </c>
      <c r="N34" s="22">
        <f t="shared" si="1"/>
        <v>58.461538461538467</v>
      </c>
    </row>
    <row r="35" spans="1:14" x14ac:dyDescent="0.2">
      <c r="A35" s="14" t="s">
        <v>48</v>
      </c>
      <c r="B35" s="13">
        <v>-43</v>
      </c>
      <c r="C35" s="13">
        <v>46</v>
      </c>
      <c r="D35" s="13">
        <v>84</v>
      </c>
      <c r="E35" s="13">
        <v>0</v>
      </c>
      <c r="F35" s="13">
        <v>0</v>
      </c>
      <c r="G35" s="13">
        <v>138</v>
      </c>
      <c r="H35" s="13">
        <v>0</v>
      </c>
      <c r="I35" s="13">
        <v>95</v>
      </c>
      <c r="J35" s="13">
        <v>1</v>
      </c>
      <c r="K35" s="13">
        <v>0.11</v>
      </c>
      <c r="L35" s="21">
        <f t="shared" si="0"/>
        <v>236</v>
      </c>
      <c r="M35" s="13">
        <v>383</v>
      </c>
      <c r="N35" s="22">
        <f t="shared" si="1"/>
        <v>61.61879895561357</v>
      </c>
    </row>
    <row r="36" spans="1:14" x14ac:dyDescent="0.2">
      <c r="A36" s="14" t="s">
        <v>49</v>
      </c>
      <c r="B36" s="13">
        <v>-35</v>
      </c>
      <c r="C36" s="13">
        <v>33</v>
      </c>
      <c r="D36" s="13">
        <v>79</v>
      </c>
      <c r="E36" s="13">
        <v>0</v>
      </c>
      <c r="F36" s="13">
        <v>0</v>
      </c>
      <c r="G36" s="13">
        <v>138</v>
      </c>
      <c r="H36" s="13">
        <v>0</v>
      </c>
      <c r="I36" s="13">
        <v>95</v>
      </c>
      <c r="J36" s="13">
        <v>1</v>
      </c>
      <c r="K36" s="13">
        <v>0.11</v>
      </c>
      <c r="L36" s="21">
        <f t="shared" si="0"/>
        <v>231</v>
      </c>
      <c r="M36" s="13">
        <v>382</v>
      </c>
      <c r="N36" s="22">
        <f t="shared" si="1"/>
        <v>60.471204188481678</v>
      </c>
    </row>
    <row r="37" spans="1:14" x14ac:dyDescent="0.2">
      <c r="A37" s="14" t="s">
        <v>50</v>
      </c>
      <c r="B37" s="13">
        <v>-35</v>
      </c>
      <c r="C37" s="13">
        <v>46</v>
      </c>
      <c r="D37" s="13">
        <v>74</v>
      </c>
      <c r="E37" s="13">
        <v>0</v>
      </c>
      <c r="F37" s="13">
        <v>0</v>
      </c>
      <c r="G37" s="13">
        <v>138</v>
      </c>
      <c r="H37" s="13">
        <v>0</v>
      </c>
      <c r="I37" s="13">
        <v>95</v>
      </c>
      <c r="J37" s="13">
        <v>1</v>
      </c>
      <c r="K37" s="13">
        <v>0.11</v>
      </c>
      <c r="L37" s="21">
        <f t="shared" si="0"/>
        <v>243</v>
      </c>
      <c r="M37" s="13">
        <v>386</v>
      </c>
      <c r="N37" s="22">
        <f t="shared" si="1"/>
        <v>62.953367875647672</v>
      </c>
    </row>
    <row r="38" spans="1:14" x14ac:dyDescent="0.2">
      <c r="A38" s="14" t="s">
        <v>51</v>
      </c>
      <c r="B38" s="13">
        <v>-29</v>
      </c>
      <c r="C38" s="13">
        <v>36</v>
      </c>
      <c r="D38" s="13">
        <v>71</v>
      </c>
      <c r="E38" s="13">
        <v>0</v>
      </c>
      <c r="F38" s="13">
        <v>0</v>
      </c>
      <c r="G38" s="13">
        <v>138</v>
      </c>
      <c r="H38" s="13">
        <v>0</v>
      </c>
      <c r="I38" s="13">
        <v>95</v>
      </c>
      <c r="J38" s="13">
        <v>1</v>
      </c>
      <c r="K38" s="13">
        <v>0.11</v>
      </c>
      <c r="L38" s="21">
        <f t="shared" si="0"/>
        <v>239</v>
      </c>
      <c r="M38" s="13">
        <v>381</v>
      </c>
      <c r="N38" s="22">
        <f t="shared" si="1"/>
        <v>62.729658792650923</v>
      </c>
    </row>
    <row r="39" spans="1:14" x14ac:dyDescent="0.2">
      <c r="A39" s="14" t="s">
        <v>52</v>
      </c>
      <c r="B39" s="13">
        <v>-45</v>
      </c>
      <c r="C39" s="13">
        <v>43</v>
      </c>
      <c r="D39" s="13">
        <v>65</v>
      </c>
      <c r="E39" s="13">
        <v>0</v>
      </c>
      <c r="F39" s="13">
        <v>0</v>
      </c>
      <c r="G39" s="13">
        <v>138</v>
      </c>
      <c r="H39" s="13">
        <v>0</v>
      </c>
      <c r="I39" s="13">
        <v>95</v>
      </c>
      <c r="J39" s="13">
        <v>1</v>
      </c>
      <c r="K39" s="13">
        <v>0.11</v>
      </c>
      <c r="L39" s="21">
        <f t="shared" si="0"/>
        <v>231</v>
      </c>
      <c r="M39" s="13">
        <v>383</v>
      </c>
      <c r="N39" s="22">
        <f t="shared" si="1"/>
        <v>60.313315926892955</v>
      </c>
    </row>
    <row r="40" spans="1:14" x14ac:dyDescent="0.2">
      <c r="A40" s="14" t="s">
        <v>53</v>
      </c>
      <c r="B40" s="13">
        <v>-40</v>
      </c>
      <c r="C40" s="13">
        <v>42</v>
      </c>
      <c r="D40" s="13">
        <v>67</v>
      </c>
      <c r="E40" s="13">
        <v>0</v>
      </c>
      <c r="F40" s="13">
        <v>0</v>
      </c>
      <c r="G40" s="13">
        <v>138</v>
      </c>
      <c r="H40" s="13">
        <v>0</v>
      </c>
      <c r="I40" s="13">
        <v>95</v>
      </c>
      <c r="J40" s="13">
        <v>1</v>
      </c>
      <c r="K40" s="13">
        <v>0.11</v>
      </c>
      <c r="L40" s="21">
        <f t="shared" si="0"/>
        <v>235</v>
      </c>
      <c r="M40" s="13">
        <v>382</v>
      </c>
      <c r="N40" s="22">
        <f t="shared" si="1"/>
        <v>61.518324607329845</v>
      </c>
    </row>
    <row r="41" spans="1:14" x14ac:dyDescent="0.2">
      <c r="A41" s="14" t="s">
        <v>54</v>
      </c>
      <c r="B41" s="13">
        <v>-44</v>
      </c>
      <c r="C41" s="13">
        <v>65</v>
      </c>
      <c r="D41" s="13">
        <v>75</v>
      </c>
      <c r="E41" s="13">
        <v>0</v>
      </c>
      <c r="F41" s="13">
        <v>0</v>
      </c>
      <c r="G41" s="13">
        <v>138</v>
      </c>
      <c r="H41" s="13">
        <v>0</v>
      </c>
      <c r="I41" s="13">
        <v>95</v>
      </c>
      <c r="J41" s="13">
        <v>1</v>
      </c>
      <c r="K41" s="13">
        <v>0.11</v>
      </c>
      <c r="L41" s="21">
        <f t="shared" si="0"/>
        <v>252</v>
      </c>
      <c r="M41" s="13">
        <v>383</v>
      </c>
      <c r="N41" s="22">
        <f t="shared" si="1"/>
        <v>65.796344647519575</v>
      </c>
    </row>
    <row r="42" spans="1:14" x14ac:dyDescent="0.2">
      <c r="A42" s="14" t="s">
        <v>55</v>
      </c>
      <c r="B42" s="13">
        <v>-41</v>
      </c>
      <c r="C42" s="13">
        <v>26</v>
      </c>
      <c r="D42" s="13">
        <v>73</v>
      </c>
      <c r="E42" s="13">
        <v>0</v>
      </c>
      <c r="F42" s="13">
        <v>0</v>
      </c>
      <c r="G42" s="13">
        <v>138</v>
      </c>
      <c r="H42" s="13">
        <v>0</v>
      </c>
      <c r="I42" s="13">
        <v>94</v>
      </c>
      <c r="J42" s="13">
        <v>1</v>
      </c>
      <c r="K42" s="13">
        <v>0.11</v>
      </c>
      <c r="L42" s="21">
        <f t="shared" si="0"/>
        <v>219</v>
      </c>
      <c r="M42" s="13">
        <v>385</v>
      </c>
      <c r="N42" s="22">
        <f t="shared" si="1"/>
        <v>56.883116883116877</v>
      </c>
    </row>
    <row r="43" spans="1:14" x14ac:dyDescent="0.2">
      <c r="A43" s="14" t="s">
        <v>56</v>
      </c>
      <c r="B43" s="13">
        <v>-46</v>
      </c>
      <c r="C43" s="13">
        <v>44</v>
      </c>
      <c r="D43" s="13">
        <v>80</v>
      </c>
      <c r="E43" s="13">
        <v>0</v>
      </c>
      <c r="F43" s="13">
        <v>0</v>
      </c>
      <c r="G43" s="13">
        <v>138</v>
      </c>
      <c r="H43" s="13">
        <v>0</v>
      </c>
      <c r="I43" s="13">
        <v>94</v>
      </c>
      <c r="J43" s="13">
        <v>0</v>
      </c>
      <c r="K43" s="13">
        <v>0.11</v>
      </c>
      <c r="L43" s="21">
        <f t="shared" si="0"/>
        <v>230</v>
      </c>
      <c r="M43" s="13">
        <v>381</v>
      </c>
      <c r="N43" s="22">
        <f t="shared" si="1"/>
        <v>60.367454068241464</v>
      </c>
    </row>
    <row r="44" spans="1:14" x14ac:dyDescent="0.2">
      <c r="A44" s="14" t="s">
        <v>57</v>
      </c>
      <c r="B44" s="13">
        <v>-49</v>
      </c>
      <c r="C44" s="13">
        <v>49</v>
      </c>
      <c r="D44" s="13">
        <v>77</v>
      </c>
      <c r="E44" s="13">
        <v>0</v>
      </c>
      <c r="F44" s="13">
        <v>0</v>
      </c>
      <c r="G44" s="13">
        <v>138</v>
      </c>
      <c r="H44" s="13">
        <v>0</v>
      </c>
      <c r="I44" s="13">
        <v>95</v>
      </c>
      <c r="J44" s="13">
        <v>0</v>
      </c>
      <c r="K44" s="13">
        <v>0.12</v>
      </c>
      <c r="L44" s="21">
        <f t="shared" si="0"/>
        <v>233</v>
      </c>
      <c r="M44" s="13">
        <v>350</v>
      </c>
      <c r="N44" s="22">
        <f t="shared" si="1"/>
        <v>66.571428571428569</v>
      </c>
    </row>
    <row r="45" spans="1:14" x14ac:dyDescent="0.2">
      <c r="A45" s="14" t="s">
        <v>58</v>
      </c>
      <c r="B45" s="13">
        <v>-51</v>
      </c>
      <c r="C45" s="13">
        <v>35</v>
      </c>
      <c r="D45" s="13">
        <v>80</v>
      </c>
      <c r="E45" s="13">
        <v>0</v>
      </c>
      <c r="F45" s="13">
        <v>0</v>
      </c>
      <c r="G45" s="13">
        <v>138</v>
      </c>
      <c r="H45" s="13">
        <v>0</v>
      </c>
      <c r="I45" s="13">
        <v>94</v>
      </c>
      <c r="J45" s="13">
        <v>0</v>
      </c>
      <c r="K45" s="13">
        <v>0.12</v>
      </c>
      <c r="L45" s="21">
        <f t="shared" si="0"/>
        <v>218</v>
      </c>
      <c r="M45" s="13">
        <v>366</v>
      </c>
      <c r="N45" s="22">
        <f t="shared" si="1"/>
        <v>59.562841530054641</v>
      </c>
    </row>
    <row r="46" spans="1:14" x14ac:dyDescent="0.2">
      <c r="A46" s="14" t="s">
        <v>59</v>
      </c>
      <c r="B46" s="13">
        <v>-55</v>
      </c>
      <c r="C46" s="13">
        <v>66</v>
      </c>
      <c r="D46" s="13">
        <v>80</v>
      </c>
      <c r="E46" s="13">
        <v>0</v>
      </c>
      <c r="F46" s="13">
        <v>0</v>
      </c>
      <c r="G46" s="13">
        <v>138</v>
      </c>
      <c r="H46" s="13">
        <v>0</v>
      </c>
      <c r="I46" s="13">
        <v>94</v>
      </c>
      <c r="J46" s="13">
        <v>0</v>
      </c>
      <c r="K46" s="13">
        <v>0.12</v>
      </c>
      <c r="L46" s="21">
        <f t="shared" si="0"/>
        <v>242</v>
      </c>
      <c r="M46" s="13">
        <v>370</v>
      </c>
      <c r="N46" s="22">
        <f t="shared" si="1"/>
        <v>65.405405405405403</v>
      </c>
    </row>
    <row r="47" spans="1:14" x14ac:dyDescent="0.2">
      <c r="A47" s="14" t="s">
        <v>60</v>
      </c>
      <c r="B47" s="13">
        <v>-101</v>
      </c>
      <c r="C47" s="13">
        <v>65</v>
      </c>
      <c r="D47" s="13">
        <v>127</v>
      </c>
      <c r="E47" s="13">
        <v>0</v>
      </c>
      <c r="F47" s="13">
        <v>0</v>
      </c>
      <c r="G47" s="13">
        <v>138</v>
      </c>
      <c r="H47" s="13">
        <v>0</v>
      </c>
      <c r="I47" s="13">
        <v>94</v>
      </c>
      <c r="J47" s="13">
        <v>0</v>
      </c>
      <c r="K47" s="13">
        <v>0.11</v>
      </c>
      <c r="L47" s="21">
        <f t="shared" si="0"/>
        <v>200</v>
      </c>
      <c r="M47" s="13">
        <v>381</v>
      </c>
      <c r="N47" s="22">
        <f t="shared" si="1"/>
        <v>52.493438320209975</v>
      </c>
    </row>
    <row r="48" spans="1:14" x14ac:dyDescent="0.2">
      <c r="A48" s="14" t="s">
        <v>62</v>
      </c>
      <c r="B48" s="23">
        <v>-71</v>
      </c>
      <c r="C48" s="23">
        <v>72</v>
      </c>
      <c r="D48" s="23">
        <v>133</v>
      </c>
      <c r="E48" s="23">
        <v>0</v>
      </c>
      <c r="F48" s="23">
        <v>0</v>
      </c>
      <c r="G48" s="23">
        <v>138</v>
      </c>
      <c r="H48" s="23">
        <v>0</v>
      </c>
      <c r="I48" s="23">
        <v>94</v>
      </c>
      <c r="J48" s="23">
        <v>0</v>
      </c>
      <c r="K48" s="23">
        <v>0.11</v>
      </c>
      <c r="L48" s="21">
        <f t="shared" si="0"/>
        <v>233</v>
      </c>
      <c r="M48" s="23">
        <v>385</v>
      </c>
      <c r="N48" s="22">
        <f t="shared" si="1"/>
        <v>60.519480519480517</v>
      </c>
    </row>
    <row r="49" spans="1:14" x14ac:dyDescent="0.2">
      <c r="A49" s="14" t="s">
        <v>63</v>
      </c>
      <c r="B49" s="23">
        <v>-72</v>
      </c>
      <c r="C49" s="23">
        <v>71</v>
      </c>
      <c r="D49" s="23">
        <v>134</v>
      </c>
      <c r="E49" s="23">
        <v>0</v>
      </c>
      <c r="F49" s="23">
        <v>0</v>
      </c>
      <c r="G49" s="23">
        <v>138</v>
      </c>
      <c r="H49" s="23">
        <v>0</v>
      </c>
      <c r="I49" s="23">
        <v>94</v>
      </c>
      <c r="J49" s="23">
        <v>0</v>
      </c>
      <c r="K49" s="23">
        <v>0.12</v>
      </c>
      <c r="L49" s="21">
        <f t="shared" si="0"/>
        <v>231</v>
      </c>
      <c r="M49" s="23">
        <v>381</v>
      </c>
      <c r="N49" s="22">
        <f t="shared" si="1"/>
        <v>60.629921259842526</v>
      </c>
    </row>
    <row r="50" spans="1:14" x14ac:dyDescent="0.2">
      <c r="A50" s="14" t="s">
        <v>64</v>
      </c>
      <c r="B50" s="23">
        <v>-35</v>
      </c>
      <c r="C50" s="23">
        <v>29</v>
      </c>
      <c r="D50" s="23">
        <v>94</v>
      </c>
      <c r="E50" s="23">
        <v>0</v>
      </c>
      <c r="F50" s="23">
        <v>0</v>
      </c>
      <c r="G50" s="23">
        <v>138</v>
      </c>
      <c r="H50" s="23">
        <v>0</v>
      </c>
      <c r="I50" s="23">
        <v>94</v>
      </c>
      <c r="J50" s="23">
        <v>0</v>
      </c>
      <c r="K50" s="23">
        <v>0.12</v>
      </c>
      <c r="L50" s="21">
        <f t="shared" si="0"/>
        <v>227</v>
      </c>
      <c r="M50" s="23">
        <v>360</v>
      </c>
      <c r="N50" s="22">
        <f t="shared" si="1"/>
        <v>63.055555555555557</v>
      </c>
    </row>
    <row r="51" spans="1:14" x14ac:dyDescent="0.2">
      <c r="A51" s="14" t="s">
        <v>65</v>
      </c>
      <c r="B51" s="23">
        <v>-12</v>
      </c>
      <c r="C51" s="23">
        <v>56</v>
      </c>
      <c r="D51" s="23">
        <v>67</v>
      </c>
      <c r="E51" s="23">
        <v>0</v>
      </c>
      <c r="F51" s="23">
        <v>0</v>
      </c>
      <c r="G51" s="23">
        <v>138</v>
      </c>
      <c r="H51" s="23">
        <v>0</v>
      </c>
      <c r="I51" s="23">
        <v>94</v>
      </c>
      <c r="J51" s="23">
        <v>0</v>
      </c>
      <c r="K51" s="23">
        <v>0.12</v>
      </c>
      <c r="L51" s="21">
        <f t="shared" si="0"/>
        <v>271</v>
      </c>
      <c r="M51" s="23">
        <v>356</v>
      </c>
      <c r="N51" s="22">
        <f t="shared" si="1"/>
        <v>76.123595505617985</v>
      </c>
    </row>
    <row r="52" spans="1:14" x14ac:dyDescent="0.2">
      <c r="A52" s="14" t="s">
        <v>66</v>
      </c>
      <c r="B52" s="23">
        <v>-1</v>
      </c>
      <c r="C52" s="23">
        <v>26</v>
      </c>
      <c r="D52" s="23">
        <v>54</v>
      </c>
      <c r="E52" s="23">
        <v>0</v>
      </c>
      <c r="F52" s="23">
        <v>0</v>
      </c>
      <c r="G52" s="23">
        <v>138</v>
      </c>
      <c r="H52" s="23">
        <v>0</v>
      </c>
      <c r="I52" s="23">
        <v>94</v>
      </c>
      <c r="J52" s="23">
        <v>0</v>
      </c>
      <c r="K52" s="23">
        <v>0.12</v>
      </c>
      <c r="L52" s="21">
        <f t="shared" si="0"/>
        <v>254</v>
      </c>
      <c r="M52" s="23">
        <v>374</v>
      </c>
      <c r="N52" s="22">
        <f t="shared" si="1"/>
        <v>67.914438502673804</v>
      </c>
    </row>
    <row r="53" spans="1:14" x14ac:dyDescent="0.2">
      <c r="A53" s="14" t="s">
        <v>67</v>
      </c>
      <c r="B53" s="23">
        <v>-11</v>
      </c>
      <c r="C53" s="23">
        <v>38</v>
      </c>
      <c r="D53" s="23">
        <v>52</v>
      </c>
      <c r="E53" s="23">
        <v>0</v>
      </c>
      <c r="F53" s="23">
        <v>0</v>
      </c>
      <c r="G53" s="23">
        <v>138</v>
      </c>
      <c r="H53" s="23">
        <v>0</v>
      </c>
      <c r="I53" s="23">
        <v>94</v>
      </c>
      <c r="J53" s="23">
        <v>0</v>
      </c>
      <c r="K53" s="23">
        <v>0.12</v>
      </c>
      <c r="L53" s="21">
        <f t="shared" si="0"/>
        <v>256</v>
      </c>
      <c r="M53" s="23">
        <v>336</v>
      </c>
      <c r="N53" s="22">
        <f t="shared" si="1"/>
        <v>76.19047619047619</v>
      </c>
    </row>
    <row r="54" spans="1:14" x14ac:dyDescent="0.2">
      <c r="A54" s="14" t="s">
        <v>68</v>
      </c>
      <c r="B54" s="23">
        <v>-21</v>
      </c>
      <c r="C54" s="23">
        <v>46</v>
      </c>
      <c r="D54" s="23">
        <v>59</v>
      </c>
      <c r="E54" s="23">
        <v>0</v>
      </c>
      <c r="F54" s="23">
        <v>0</v>
      </c>
      <c r="G54" s="23">
        <v>138</v>
      </c>
      <c r="H54" s="23">
        <v>0</v>
      </c>
      <c r="I54" s="23">
        <v>94</v>
      </c>
      <c r="J54" s="23">
        <v>0</v>
      </c>
      <c r="K54" s="23">
        <v>0.12</v>
      </c>
      <c r="L54" s="21">
        <f t="shared" si="0"/>
        <v>254</v>
      </c>
      <c r="M54" s="23">
        <v>341</v>
      </c>
      <c r="N54" s="22">
        <f t="shared" si="1"/>
        <v>74.486803519061581</v>
      </c>
    </row>
    <row r="55" spans="1:14" x14ac:dyDescent="0.2">
      <c r="A55" s="14" t="s">
        <v>69</v>
      </c>
      <c r="B55" s="23">
        <v>0</v>
      </c>
      <c r="C55" s="23">
        <v>70</v>
      </c>
      <c r="D55" s="23">
        <v>63</v>
      </c>
      <c r="E55" s="23">
        <v>0</v>
      </c>
      <c r="F55" s="23">
        <v>0</v>
      </c>
      <c r="G55" s="23">
        <v>138</v>
      </c>
      <c r="H55" s="23">
        <v>0</v>
      </c>
      <c r="I55" s="23">
        <v>94</v>
      </c>
      <c r="J55" s="23">
        <v>0</v>
      </c>
      <c r="K55" s="23">
        <v>0.12</v>
      </c>
      <c r="L55" s="21">
        <f t="shared" si="0"/>
        <v>294</v>
      </c>
      <c r="M55" s="23">
        <v>343</v>
      </c>
      <c r="N55" s="22">
        <f t="shared" si="1"/>
        <v>85.714285714285708</v>
      </c>
    </row>
    <row r="56" spans="1:14" x14ac:dyDescent="0.2">
      <c r="A56" s="14" t="s">
        <v>70</v>
      </c>
      <c r="B56" s="23">
        <v>0</v>
      </c>
      <c r="C56" s="23">
        <v>49</v>
      </c>
      <c r="D56" s="23">
        <v>63</v>
      </c>
      <c r="E56" s="23">
        <v>0</v>
      </c>
      <c r="F56" s="23">
        <v>0</v>
      </c>
      <c r="G56" s="23">
        <v>138</v>
      </c>
      <c r="H56" s="23">
        <v>0</v>
      </c>
      <c r="I56" s="23">
        <v>94</v>
      </c>
      <c r="J56" s="23">
        <v>0</v>
      </c>
      <c r="K56" s="23">
        <v>0.12</v>
      </c>
      <c r="L56" s="21">
        <f t="shared" si="0"/>
        <v>275</v>
      </c>
      <c r="M56" s="23">
        <v>343</v>
      </c>
      <c r="N56" s="22">
        <f t="shared" si="1"/>
        <v>80.174927113702623</v>
      </c>
    </row>
    <row r="57" spans="1:14" x14ac:dyDescent="0.2">
      <c r="A57" s="14" t="s">
        <v>71</v>
      </c>
      <c r="B57" s="23">
        <v>4</v>
      </c>
      <c r="C57" s="23">
        <v>40</v>
      </c>
      <c r="D57" s="23">
        <v>64</v>
      </c>
      <c r="E57" s="23">
        <v>0</v>
      </c>
      <c r="F57" s="23">
        <v>0</v>
      </c>
      <c r="G57" s="23">
        <v>138</v>
      </c>
      <c r="H57" s="23">
        <v>0</v>
      </c>
      <c r="I57" s="23">
        <v>94</v>
      </c>
      <c r="J57" s="23">
        <v>0</v>
      </c>
      <c r="K57" s="23">
        <v>0.12</v>
      </c>
      <c r="L57" s="21">
        <f t="shared" si="0"/>
        <v>271</v>
      </c>
      <c r="M57" s="23">
        <v>357</v>
      </c>
      <c r="N57" s="22">
        <f t="shared" si="1"/>
        <v>75.910364145658264</v>
      </c>
    </row>
    <row r="58" spans="1:14" x14ac:dyDescent="0.2">
      <c r="A58" s="14" t="s">
        <v>72</v>
      </c>
      <c r="B58" s="23">
        <v>4</v>
      </c>
      <c r="C58" s="23">
        <v>30</v>
      </c>
      <c r="D58" s="23">
        <v>63</v>
      </c>
      <c r="E58" s="23">
        <v>0</v>
      </c>
      <c r="F58" s="23">
        <v>0</v>
      </c>
      <c r="G58" s="23">
        <v>138</v>
      </c>
      <c r="H58" s="23">
        <v>0</v>
      </c>
      <c r="I58" s="23">
        <v>94</v>
      </c>
      <c r="J58" s="23">
        <v>0</v>
      </c>
      <c r="K58" s="23">
        <v>0.12</v>
      </c>
      <c r="L58" s="21">
        <f t="shared" si="0"/>
        <v>262</v>
      </c>
      <c r="M58" s="23">
        <v>355</v>
      </c>
      <c r="N58" s="22">
        <f t="shared" si="1"/>
        <v>73.802816901408448</v>
      </c>
    </row>
    <row r="59" spans="1:14" x14ac:dyDescent="0.2">
      <c r="A59" s="14" t="s">
        <v>73</v>
      </c>
      <c r="B59" s="23">
        <v>-35</v>
      </c>
      <c r="C59" s="23">
        <v>42</v>
      </c>
      <c r="D59" s="23">
        <v>59</v>
      </c>
      <c r="E59" s="23">
        <v>0</v>
      </c>
      <c r="F59" s="23">
        <v>0</v>
      </c>
      <c r="G59" s="23">
        <v>138</v>
      </c>
      <c r="H59" s="23">
        <v>0</v>
      </c>
      <c r="I59" s="23">
        <v>94</v>
      </c>
      <c r="J59" s="23">
        <v>0</v>
      </c>
      <c r="K59" s="23">
        <v>0.12</v>
      </c>
      <c r="L59" s="21">
        <f t="shared" si="0"/>
        <v>238</v>
      </c>
      <c r="M59" s="23">
        <v>354</v>
      </c>
      <c r="N59" s="22">
        <f t="shared" si="1"/>
        <v>67.2316384180791</v>
      </c>
    </row>
    <row r="60" spans="1:14" x14ac:dyDescent="0.2">
      <c r="A60" s="14" t="s">
        <v>74</v>
      </c>
      <c r="B60" s="23">
        <v>1</v>
      </c>
      <c r="C60" s="23">
        <v>62</v>
      </c>
      <c r="D60" s="23">
        <v>62</v>
      </c>
      <c r="E60" s="23">
        <v>0</v>
      </c>
      <c r="F60" s="23">
        <v>0</v>
      </c>
      <c r="G60" s="23">
        <v>138</v>
      </c>
      <c r="H60" s="23">
        <v>0</v>
      </c>
      <c r="I60" s="23">
        <v>94</v>
      </c>
      <c r="J60" s="23">
        <v>0</v>
      </c>
      <c r="K60" s="23">
        <v>0.12</v>
      </c>
      <c r="L60" s="21">
        <f t="shared" si="0"/>
        <v>287</v>
      </c>
      <c r="M60" s="23">
        <v>355</v>
      </c>
      <c r="N60" s="22">
        <f t="shared" si="1"/>
        <v>80.845070422535215</v>
      </c>
    </row>
    <row r="61" spans="1:14" x14ac:dyDescent="0.2">
      <c r="A61" s="14" t="s">
        <v>75</v>
      </c>
      <c r="B61" s="23">
        <v>3</v>
      </c>
      <c r="C61" s="23">
        <v>45</v>
      </c>
      <c r="D61" s="23">
        <v>69</v>
      </c>
      <c r="E61" s="23">
        <v>0</v>
      </c>
      <c r="F61" s="23">
        <v>0</v>
      </c>
      <c r="G61" s="23">
        <v>138</v>
      </c>
      <c r="H61" s="23">
        <v>0</v>
      </c>
      <c r="I61" s="23">
        <v>94</v>
      </c>
      <c r="J61" s="23">
        <v>0</v>
      </c>
      <c r="K61" s="23">
        <v>0.11</v>
      </c>
      <c r="L61" s="21">
        <f t="shared" si="0"/>
        <v>275</v>
      </c>
      <c r="M61" s="23">
        <v>361</v>
      </c>
      <c r="N61" s="22">
        <f t="shared" si="1"/>
        <v>76.177285318559569</v>
      </c>
    </row>
    <row r="62" spans="1:14" x14ac:dyDescent="0.2">
      <c r="A62" s="14" t="s">
        <v>76</v>
      </c>
      <c r="B62" s="23">
        <v>-11</v>
      </c>
      <c r="C62" s="23">
        <v>49</v>
      </c>
      <c r="D62" s="23">
        <v>75</v>
      </c>
      <c r="E62" s="23">
        <v>0</v>
      </c>
      <c r="F62" s="23">
        <v>0</v>
      </c>
      <c r="G62" s="23">
        <v>138</v>
      </c>
      <c r="H62" s="23">
        <v>0</v>
      </c>
      <c r="I62" s="23">
        <v>94</v>
      </c>
      <c r="J62" s="23">
        <v>0</v>
      </c>
      <c r="K62" s="23">
        <v>0.11</v>
      </c>
      <c r="L62" s="21">
        <f t="shared" si="0"/>
        <v>266</v>
      </c>
      <c r="M62" s="23">
        <v>365</v>
      </c>
      <c r="N62" s="22">
        <f t="shared" si="1"/>
        <v>72.876712328767127</v>
      </c>
    </row>
    <row r="63" spans="1:14" x14ac:dyDescent="0.2">
      <c r="A63" s="14" t="s">
        <v>77</v>
      </c>
      <c r="B63" s="23">
        <v>-76</v>
      </c>
      <c r="C63" s="23">
        <v>22</v>
      </c>
      <c r="D63" s="23">
        <v>89</v>
      </c>
      <c r="E63" s="23">
        <v>0</v>
      </c>
      <c r="F63" s="23">
        <v>0</v>
      </c>
      <c r="G63" s="23">
        <v>138</v>
      </c>
      <c r="H63" s="23">
        <v>0</v>
      </c>
      <c r="I63" s="23">
        <v>94</v>
      </c>
      <c r="J63" s="23">
        <v>0</v>
      </c>
      <c r="K63" s="23">
        <v>0.11</v>
      </c>
      <c r="L63" s="21">
        <f t="shared" si="0"/>
        <v>184</v>
      </c>
      <c r="M63" s="23">
        <v>370</v>
      </c>
      <c r="N63" s="22">
        <f t="shared" si="1"/>
        <v>49.729729729729733</v>
      </c>
    </row>
    <row r="64" spans="1:14" x14ac:dyDescent="0.2">
      <c r="A64" s="14" t="s">
        <v>78</v>
      </c>
      <c r="B64" s="23">
        <v>-106</v>
      </c>
      <c r="C64" s="23">
        <v>59</v>
      </c>
      <c r="D64" s="23">
        <v>52</v>
      </c>
      <c r="E64" s="23">
        <v>0</v>
      </c>
      <c r="F64" s="23">
        <v>0</v>
      </c>
      <c r="G64" s="23">
        <v>140</v>
      </c>
      <c r="H64" s="23">
        <v>0</v>
      </c>
      <c r="I64" s="23">
        <v>94</v>
      </c>
      <c r="J64" s="23">
        <v>0</v>
      </c>
      <c r="K64" s="23">
        <v>0.11</v>
      </c>
      <c r="L64" s="21">
        <f t="shared" si="0"/>
        <v>192</v>
      </c>
      <c r="M64" s="23">
        <v>355</v>
      </c>
      <c r="N64" s="22">
        <f t="shared" si="1"/>
        <v>54.084507042253513</v>
      </c>
    </row>
    <row r="65" spans="1:14" x14ac:dyDescent="0.2">
      <c r="A65" s="14" t="s">
        <v>79</v>
      </c>
      <c r="B65" s="23">
        <v>-73</v>
      </c>
      <c r="C65" s="23">
        <v>95</v>
      </c>
      <c r="D65" s="23">
        <v>110</v>
      </c>
      <c r="E65" s="23">
        <v>0</v>
      </c>
      <c r="F65" s="23">
        <v>0</v>
      </c>
      <c r="G65" s="23">
        <v>138</v>
      </c>
      <c r="H65" s="23">
        <v>0</v>
      </c>
      <c r="I65" s="23">
        <v>94</v>
      </c>
      <c r="J65" s="23">
        <v>0</v>
      </c>
      <c r="K65" s="23">
        <v>0.11</v>
      </c>
      <c r="L65" s="21">
        <f t="shared" si="0"/>
        <v>252</v>
      </c>
      <c r="M65" s="23">
        <v>360</v>
      </c>
      <c r="N65" s="22">
        <f t="shared" si="1"/>
        <v>70</v>
      </c>
    </row>
    <row r="66" spans="1:14" x14ac:dyDescent="0.2">
      <c r="A66" s="14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1">
        <f t="shared" si="0"/>
        <v>0</v>
      </c>
      <c r="M66" s="23"/>
      <c r="N66" s="22" t="e">
        <f t="shared" si="1"/>
        <v>#DIV/0!</v>
      </c>
    </row>
    <row r="67" spans="1:14" x14ac:dyDescent="0.2">
      <c r="A67" s="14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1">
        <f t="shared" si="0"/>
        <v>0</v>
      </c>
      <c r="M67" s="23"/>
      <c r="N67" s="22" t="e">
        <f t="shared" si="1"/>
        <v>#DIV/0!</v>
      </c>
    </row>
    <row r="68" spans="1:14" x14ac:dyDescent="0.2">
      <c r="A68" s="14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1"/>
      <c r="M68" s="23"/>
      <c r="N68" s="22"/>
    </row>
    <row r="69" spans="1:14" x14ac:dyDescent="0.2">
      <c r="A69" s="14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1"/>
      <c r="M69" s="23"/>
      <c r="N69" s="22"/>
    </row>
    <row r="70" spans="1:14" x14ac:dyDescent="0.2">
      <c r="A70" s="14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1"/>
      <c r="M70" s="23"/>
      <c r="N70" s="22"/>
    </row>
    <row r="71" spans="1:14" x14ac:dyDescent="0.2">
      <c r="A71" s="14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1"/>
      <c r="M71" s="23"/>
      <c r="N71" s="22"/>
    </row>
    <row r="72" spans="1:14" x14ac:dyDescent="0.2">
      <c r="A72" s="14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1"/>
      <c r="M72" s="23"/>
      <c r="N72" s="22"/>
    </row>
    <row r="73" spans="1:14" x14ac:dyDescent="0.2">
      <c r="A73" s="14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1"/>
      <c r="M73" s="23"/>
      <c r="N73" s="22"/>
    </row>
    <row r="74" spans="1:14" x14ac:dyDescent="0.2">
      <c r="A74" s="14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1"/>
      <c r="M74" s="23"/>
      <c r="N74" s="22"/>
    </row>
    <row r="75" spans="1:14" x14ac:dyDescent="0.2">
      <c r="A75" s="14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1"/>
      <c r="M75" s="23"/>
      <c r="N75" s="22"/>
    </row>
    <row r="76" spans="1:14" x14ac:dyDescent="0.2">
      <c r="A76" s="14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1"/>
      <c r="M76" s="23"/>
      <c r="N76" s="22"/>
    </row>
    <row r="77" spans="1:14" x14ac:dyDescent="0.2">
      <c r="A77" s="14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1"/>
      <c r="M77" s="23"/>
      <c r="N77" s="22"/>
    </row>
    <row r="78" spans="1:14" x14ac:dyDescent="0.2"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1"/>
      <c r="M78" s="23"/>
      <c r="N78" s="22"/>
    </row>
    <row r="79" spans="1:14" x14ac:dyDescent="0.2"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1"/>
      <c r="M79" s="23"/>
      <c r="N79" s="22"/>
    </row>
    <row r="80" spans="1:14" x14ac:dyDescent="0.2"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1"/>
      <c r="M80" s="23"/>
      <c r="N80" s="22"/>
    </row>
    <row r="81" spans="2:14" x14ac:dyDescent="0.2"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1"/>
      <c r="M81" s="23"/>
      <c r="N81" s="22"/>
    </row>
    <row r="82" spans="2:14" x14ac:dyDescent="0.2"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1"/>
      <c r="M82" s="23"/>
      <c r="N82" s="22"/>
    </row>
    <row r="83" spans="2:14" x14ac:dyDescent="0.2"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1"/>
      <c r="M83" s="23"/>
      <c r="N83" s="22"/>
    </row>
  </sheetData>
  <mergeCells count="11">
    <mergeCell ref="C3:C4"/>
    <mergeCell ref="D3:D4"/>
    <mergeCell ref="G3:H3"/>
    <mergeCell ref="I3:J3"/>
    <mergeCell ref="N3:N4"/>
    <mergeCell ref="B3:B4"/>
    <mergeCell ref="K3:K4"/>
    <mergeCell ref="L3:L4"/>
    <mergeCell ref="M3:M4"/>
    <mergeCell ref="E3:E4"/>
    <mergeCell ref="F3:F4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FW112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2026-06-10T04:40:29Z</dcterms:created>
  <dcterms:modified xsi:type="dcterms:W3CDTF">2026-06-10T07:44:20Z</dcterms:modified>
</cp:coreProperties>
</file>