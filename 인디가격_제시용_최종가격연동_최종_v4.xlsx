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tyui\Desktop\"/>
    </mc:Choice>
  </mc:AlternateContent>
  <xr:revisionPtr revIDLastSave="0" documentId="13_ncr:1_{CABE958B-D755-41F9-A5BD-6EE9F2A45C6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heet1" sheetId="1" r:id="rId1"/>
    <sheet name="인디가격" sheetId="2" r:id="rId2"/>
    <sheet name="통화설정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9" i="2" l="1"/>
  <c r="H30" i="2"/>
  <c r="H31" i="2"/>
  <c r="H32" i="2"/>
  <c r="M42" i="2"/>
  <c r="K42" i="2"/>
  <c r="H42" i="2"/>
  <c r="E42" i="2"/>
  <c r="M41" i="2"/>
  <c r="K41" i="2"/>
  <c r="H41" i="2"/>
  <c r="E41" i="2"/>
  <c r="M40" i="2"/>
  <c r="K40" i="2"/>
  <c r="H40" i="2"/>
  <c r="E40" i="2"/>
  <c r="M39" i="2"/>
  <c r="K39" i="2"/>
  <c r="H39" i="2"/>
  <c r="E39" i="2"/>
  <c r="M38" i="2"/>
  <c r="K38" i="2"/>
  <c r="H38" i="2"/>
  <c r="E38" i="2"/>
  <c r="M37" i="2"/>
  <c r="K37" i="2"/>
  <c r="H37" i="2"/>
  <c r="E37" i="2"/>
  <c r="M36" i="2"/>
  <c r="K36" i="2"/>
  <c r="H36" i="2"/>
  <c r="E36" i="2"/>
  <c r="M35" i="2"/>
  <c r="K35" i="2"/>
  <c r="H35" i="2"/>
  <c r="M34" i="2"/>
  <c r="K34" i="2"/>
  <c r="H34" i="2"/>
  <c r="E34" i="2"/>
  <c r="M33" i="2"/>
  <c r="K33" i="2"/>
  <c r="H33" i="2"/>
  <c r="E33" i="2"/>
  <c r="M32" i="2"/>
  <c r="K32" i="2"/>
  <c r="E32" i="2"/>
  <c r="M31" i="2"/>
  <c r="K31" i="2"/>
  <c r="E31" i="2"/>
  <c r="M30" i="2"/>
  <c r="K30" i="2"/>
  <c r="E30" i="2"/>
  <c r="M29" i="2"/>
  <c r="K29" i="2"/>
  <c r="E29" i="2"/>
  <c r="J27" i="2"/>
  <c r="H27" i="2"/>
  <c r="E27" i="2"/>
  <c r="G27" i="2" s="1"/>
  <c r="J26" i="2"/>
  <c r="H26" i="2"/>
  <c r="E26" i="2"/>
  <c r="G26" i="2" s="1"/>
  <c r="J25" i="2"/>
  <c r="H25" i="2"/>
  <c r="E25" i="2"/>
  <c r="G25" i="2" s="1"/>
  <c r="J24" i="2"/>
  <c r="H24" i="2"/>
  <c r="E24" i="2"/>
  <c r="G24" i="2" s="1"/>
  <c r="J23" i="2"/>
  <c r="H23" i="2"/>
  <c r="E23" i="2"/>
  <c r="G23" i="2" s="1"/>
  <c r="E22" i="2"/>
  <c r="G22" i="2" s="1"/>
  <c r="H22" i="2" s="1"/>
  <c r="E21" i="2"/>
  <c r="G21" i="2" s="1"/>
  <c r="H21" i="2" s="1"/>
  <c r="E20" i="2"/>
  <c r="G20" i="2" s="1"/>
  <c r="H20" i="2" s="1"/>
  <c r="E19" i="2"/>
  <c r="G19" i="2" s="1"/>
  <c r="H19" i="2" s="1"/>
  <c r="E18" i="2"/>
  <c r="G18" i="2" s="1"/>
  <c r="H18" i="2" s="1"/>
  <c r="E17" i="2"/>
  <c r="G17" i="2" s="1"/>
  <c r="H17" i="2" s="1"/>
  <c r="J15" i="2"/>
  <c r="G15" i="2"/>
  <c r="H15" i="2" s="1"/>
  <c r="J14" i="2"/>
  <c r="G14" i="2"/>
  <c r="H14" i="2" s="1"/>
  <c r="J13" i="2"/>
  <c r="H13" i="2"/>
  <c r="G13" i="2"/>
  <c r="J12" i="2"/>
  <c r="H12" i="2"/>
  <c r="G12" i="2"/>
  <c r="J11" i="2"/>
  <c r="H11" i="2"/>
  <c r="G11" i="2"/>
  <c r="J10" i="2"/>
  <c r="G10" i="2"/>
  <c r="H10" i="2" s="1"/>
  <c r="H9" i="2"/>
  <c r="G9" i="2"/>
  <c r="B9" i="2"/>
  <c r="H8" i="2"/>
  <c r="G8" i="2"/>
  <c r="B8" i="2"/>
  <c r="G7" i="2"/>
  <c r="H7" i="2" s="1"/>
  <c r="B7" i="2"/>
  <c r="G6" i="2"/>
  <c r="H6" i="2" s="1"/>
  <c r="B6" i="2"/>
  <c r="J5" i="2"/>
  <c r="H5" i="2"/>
  <c r="G5" i="2"/>
  <c r="B5" i="2"/>
  <c r="J4" i="2"/>
  <c r="G4" i="2"/>
  <c r="H4" i="2" s="1"/>
  <c r="K4" i="2" l="1"/>
  <c r="K11" i="2"/>
  <c r="K14" i="2"/>
  <c r="K15" i="2"/>
  <c r="K5" i="2"/>
  <c r="K12" i="2"/>
  <c r="K10" i="2"/>
  <c r="J19" i="2"/>
  <c r="K19" i="2" s="1"/>
  <c r="K13" i="2"/>
  <c r="K26" i="2"/>
  <c r="J22" i="2"/>
  <c r="K22" i="2" s="1"/>
  <c r="K25" i="2"/>
  <c r="K24" i="2"/>
  <c r="K27" i="2"/>
  <c r="K23" i="2"/>
  <c r="J6" i="2"/>
  <c r="K6" i="2" s="1"/>
  <c r="J21" i="2"/>
  <c r="K21" i="2" s="1"/>
  <c r="J18" i="2"/>
  <c r="K18" i="2" s="1"/>
  <c r="J8" i="2"/>
  <c r="K8" i="2" s="1"/>
  <c r="J9" i="2"/>
  <c r="K9" i="2" s="1"/>
  <c r="J20" i="2"/>
  <c r="K20" i="2" s="1"/>
  <c r="J17" i="2"/>
  <c r="K17" i="2" s="1"/>
  <c r="J7" i="2"/>
  <c r="K7" i="2" s="1"/>
</calcChain>
</file>

<file path=xl/sharedStrings.xml><?xml version="1.0" encoding="utf-8"?>
<sst xmlns="http://schemas.openxmlformats.org/spreadsheetml/2006/main" count="100" uniqueCount="81">
  <si>
    <r>
      <rPr>
        <b/>
        <sz val="11"/>
        <rFont val="Cambria"/>
        <family val="1"/>
        <charset val="1"/>
      </rPr>
      <t>[</t>
    </r>
    <r>
      <rPr>
        <b/>
        <sz val="11"/>
        <rFont val="Noto Sans CJK SC"/>
        <family val="2"/>
      </rPr>
      <t>최종가격 자동계산</t>
    </r>
    <r>
      <rPr>
        <b/>
        <sz val="11"/>
        <rFont val="Cambria"/>
        <family val="1"/>
        <charset val="1"/>
      </rPr>
      <t>]</t>
    </r>
  </si>
  <si>
    <t>통화쌍</t>
  </si>
  <si>
    <t>EUR/KRW</t>
  </si>
  <si>
    <t>스프레드/월 →</t>
  </si>
  <si>
    <t>이론가 허용오차(%) →</t>
  </si>
  <si>
    <r>
      <rPr>
        <sz val="11"/>
        <color theme="1"/>
        <rFont val="맑은 고딕"/>
        <family val="2"/>
        <charset val="129"/>
      </rPr>
      <t xml:space="preserve">USD/KRW </t>
    </r>
    <r>
      <rPr>
        <sz val="11"/>
        <color theme="1"/>
        <rFont val="Noto Sans CJK SC"/>
        <family val="2"/>
      </rPr>
      <t>환율</t>
    </r>
  </si>
  <si>
    <t xml:space="preserve">날짜 </t>
  </si>
  <si>
    <t>가격(MID)</t>
  </si>
  <si>
    <t>스프레드</t>
  </si>
  <si>
    <t>가격(스프레드감안)</t>
  </si>
  <si>
    <t>이종(대미환)</t>
  </si>
  <si>
    <t>이종가격</t>
  </si>
  <si>
    <t>비고</t>
  </si>
  <si>
    <t>이종통화 환율(대미환)</t>
  </si>
  <si>
    <t>표준
결제일</t>
  </si>
  <si>
    <t>계산방식</t>
  </si>
  <si>
    <t>핍단위</t>
  </si>
  <si>
    <t>자릿수</t>
  </si>
  <si>
    <t>표시배수</t>
  </si>
  <si>
    <t>금리차(KRW-이종,%p)</t>
  </si>
  <si>
    <t>키움</t>
  </si>
  <si>
    <t>하나</t>
  </si>
  <si>
    <r>
      <rPr>
        <b/>
        <sz val="9"/>
        <color rgb="FF808080"/>
        <rFont val="Cambria"/>
        <family val="1"/>
        <charset val="1"/>
      </rPr>
      <t>&lt;</t>
    </r>
    <r>
      <rPr>
        <b/>
        <sz val="9"/>
        <color rgb="FF808080"/>
        <rFont val="Noto Sans CJK SC"/>
        <family val="2"/>
      </rPr>
      <t>사용법</t>
    </r>
    <r>
      <rPr>
        <b/>
        <sz val="9"/>
        <color rgb="FF808080"/>
        <rFont val="Cambria"/>
        <family val="1"/>
        <charset val="1"/>
      </rPr>
      <t>&gt;</t>
    </r>
  </si>
  <si>
    <t>흥국</t>
  </si>
  <si>
    <r>
      <rPr>
        <sz val="9"/>
        <color rgb="FF808080"/>
        <rFont val="Cambria"/>
        <family val="1"/>
        <charset val="1"/>
      </rPr>
      <t xml:space="preserve">1. </t>
    </r>
    <r>
      <rPr>
        <sz val="9"/>
        <color rgb="FF808080"/>
        <rFont val="Noto Sans CJK SC"/>
        <family val="2"/>
      </rPr>
      <t>노란색 셀 입력</t>
    </r>
    <r>
      <rPr>
        <sz val="9"/>
        <color rgb="FF808080"/>
        <rFont val="Cambria"/>
        <family val="1"/>
        <charset val="1"/>
      </rPr>
      <t xml:space="preserve">: </t>
    </r>
    <r>
      <rPr>
        <sz val="9"/>
        <color rgb="FF808080"/>
        <rFont val="Noto Sans CJK SC"/>
        <family val="2"/>
      </rPr>
      <t>통화쌍 선택</t>
    </r>
    <r>
      <rPr>
        <sz val="9"/>
        <color rgb="FF808080"/>
        <rFont val="Cambria"/>
        <family val="1"/>
        <charset val="1"/>
      </rPr>
      <t xml:space="preserve">, </t>
    </r>
    <r>
      <rPr>
        <sz val="9"/>
        <color rgb="FF808080"/>
        <rFont val="Noto Sans CJK SC"/>
        <family val="2"/>
      </rPr>
      <t xml:space="preserve">현물환율 </t>
    </r>
    <r>
      <rPr>
        <sz val="9"/>
        <color rgb="FF808080"/>
        <rFont val="Cambria"/>
        <family val="1"/>
        <charset val="1"/>
      </rPr>
      <t>2</t>
    </r>
    <r>
      <rPr>
        <sz val="9"/>
        <color rgb="FF808080"/>
        <rFont val="Noto Sans CJK SC"/>
        <family val="2"/>
      </rPr>
      <t>개</t>
    </r>
  </si>
  <si>
    <t>우리(각각)</t>
  </si>
  <si>
    <r>
      <rPr>
        <sz val="9"/>
        <color rgb="FF808080"/>
        <rFont val="Cambria"/>
        <family val="1"/>
        <charset val="1"/>
      </rPr>
      <t>2. F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(MID)·G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스프레드</t>
    </r>
    <r>
      <rPr>
        <sz val="9"/>
        <color rgb="FF808080"/>
        <rFont val="Cambria"/>
        <family val="1"/>
        <charset val="1"/>
      </rPr>
      <t>)·I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이종 대미환 스왑포인트</t>
    </r>
    <r>
      <rPr>
        <sz val="9"/>
        <color rgb="FF808080"/>
        <rFont val="Cambria"/>
        <family val="1"/>
        <charset val="1"/>
      </rPr>
      <t xml:space="preserve">) </t>
    </r>
    <r>
      <rPr>
        <sz val="9"/>
        <color rgb="FF808080"/>
        <rFont val="Noto Sans CJK SC"/>
        <family val="2"/>
      </rPr>
      <t>입력</t>
    </r>
  </si>
  <si>
    <t>카디안(각각)</t>
  </si>
  <si>
    <r>
      <rPr>
        <sz val="9"/>
        <color rgb="FF808080"/>
        <rFont val="Cambria"/>
        <family val="1"/>
        <charset val="1"/>
      </rPr>
      <t>3. H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(=F+G)</t>
    </r>
    <r>
      <rPr>
        <sz val="9"/>
        <color rgb="FF808080"/>
        <rFont val="Noto Sans CJK SC"/>
        <family val="2"/>
      </rPr>
      <t xml:space="preserve">과 </t>
    </r>
    <r>
      <rPr>
        <sz val="9"/>
        <color rgb="FF808080"/>
        <rFont val="Cambria"/>
        <family val="1"/>
        <charset val="1"/>
      </rPr>
      <t>J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최종가격</t>
    </r>
    <r>
      <rPr>
        <sz val="9"/>
        <color rgb="FF808080"/>
        <rFont val="Cambria"/>
        <family val="1"/>
        <charset val="1"/>
      </rPr>
      <t>)</t>
    </r>
    <r>
      <rPr>
        <sz val="9"/>
        <color rgb="FF808080"/>
        <rFont val="Noto Sans CJK SC"/>
        <family val="2"/>
      </rPr>
      <t>은 자동 계산</t>
    </r>
  </si>
  <si>
    <t>한국투신</t>
  </si>
  <si>
    <r>
      <rPr>
        <sz val="9"/>
        <color rgb="FF808080"/>
        <rFont val="Cambria"/>
        <family val="1"/>
        <charset val="1"/>
      </rPr>
      <t xml:space="preserve">※ USD/KRW </t>
    </r>
    <r>
      <rPr>
        <sz val="9"/>
        <color rgb="FF808080"/>
        <rFont val="Noto Sans CJK SC"/>
        <family val="2"/>
      </rPr>
      <t>선택 시 이종환율</t>
    </r>
    <r>
      <rPr>
        <sz val="9"/>
        <color rgb="FF808080"/>
        <rFont val="Cambria"/>
        <family val="1"/>
        <charset val="1"/>
      </rPr>
      <t>·I</t>
    </r>
    <r>
      <rPr>
        <sz val="9"/>
        <color rgb="FF808080"/>
        <rFont val="Noto Sans CJK SC"/>
        <family val="2"/>
      </rPr>
      <t xml:space="preserve">열 불필요 </t>
    </r>
    <r>
      <rPr>
        <sz val="9"/>
        <color rgb="FF808080"/>
        <rFont val="Cambria"/>
        <family val="1"/>
        <charset val="1"/>
      </rPr>
      <t>(J=H)</t>
    </r>
  </si>
  <si>
    <t>유진</t>
  </si>
  <si>
    <r>
      <rPr>
        <sz val="9"/>
        <color rgb="FF808080"/>
        <rFont val="Cambria"/>
        <family val="1"/>
        <charset val="1"/>
      </rPr>
      <t xml:space="preserve">4. </t>
    </r>
    <r>
      <rPr>
        <sz val="9"/>
        <color rgb="FF808080"/>
        <rFont val="Noto Sans CJK SC"/>
        <family val="2"/>
      </rPr>
      <t>통화설정 시트에 정책금리 입력 시</t>
    </r>
    <r>
      <rPr>
        <sz val="9"/>
        <color rgb="FF808080"/>
        <rFont val="Cambria"/>
        <family val="1"/>
        <charset val="1"/>
      </rPr>
      <t xml:space="preserve">, </t>
    </r>
    <r>
      <rPr>
        <sz val="9"/>
        <color rgb="FF808080"/>
        <rFont val="Noto Sans CJK SC"/>
        <family val="2"/>
      </rPr>
      <t xml:space="preserve">금리차 기반 이론가와 크게 다르면 </t>
    </r>
    <r>
      <rPr>
        <sz val="9"/>
        <color rgb="FF808080"/>
        <rFont val="Cambria"/>
        <family val="1"/>
        <charset val="1"/>
      </rPr>
      <t>K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비고</t>
    </r>
    <r>
      <rPr>
        <sz val="9"/>
        <color rgb="FF808080"/>
        <rFont val="Cambria"/>
        <family val="1"/>
        <charset val="1"/>
      </rPr>
      <t>)</t>
    </r>
    <r>
      <rPr>
        <sz val="9"/>
        <color rgb="FF808080"/>
        <rFont val="Noto Sans CJK SC"/>
        <family val="2"/>
      </rPr>
      <t>에 ⚠ 경고</t>
    </r>
  </si>
  <si>
    <t>IBK</t>
  </si>
  <si>
    <t>비표준
결제일</t>
  </si>
  <si>
    <t>다올</t>
  </si>
  <si>
    <t>삼성</t>
  </si>
  <si>
    <t>파인만</t>
  </si>
  <si>
    <t>현대(각각)</t>
  </si>
  <si>
    <t>한화(각각)</t>
  </si>
  <si>
    <r>
      <rPr>
        <b/>
        <sz val="11.5"/>
        <color theme="1"/>
        <rFont val="맑은 고딕"/>
        <family val="3"/>
        <charset val="129"/>
      </rPr>
      <t>KB(18</t>
    </r>
    <r>
      <rPr>
        <b/>
        <sz val="11.5"/>
        <color theme="1"/>
        <rFont val="Noto Sans CJK SC"/>
        <family val="2"/>
      </rPr>
      <t>개월</t>
    </r>
    <r>
      <rPr>
        <b/>
        <sz val="11.5"/>
        <color theme="1"/>
        <rFont val="맑은 고딕"/>
        <family val="3"/>
        <charset val="129"/>
      </rPr>
      <t>)</t>
    </r>
  </si>
  <si>
    <t>신한</t>
  </si>
  <si>
    <t>미래에셋</t>
  </si>
  <si>
    <t>유리(각각)</t>
  </si>
  <si>
    <t>20/25/35</t>
  </si>
  <si>
    <t>DB</t>
  </si>
  <si>
    <t>결제일 1년이내★(표준)</t>
  </si>
  <si>
    <r>
      <rPr>
        <b/>
        <sz val="11"/>
        <color theme="1"/>
        <rFont val="맑은 고딕"/>
        <family val="3"/>
        <charset val="129"/>
      </rPr>
      <t>USD</t>
    </r>
    <r>
      <rPr>
        <b/>
        <sz val="11"/>
        <color theme="1"/>
        <rFont val="Noto Sans CJK SC"/>
        <family val="2"/>
      </rPr>
      <t>가격</t>
    </r>
  </si>
  <si>
    <t>JPY/KRW</t>
  </si>
  <si>
    <t>이종 핍단위</t>
  </si>
  <si>
    <t>반올림 자릿수</t>
  </si>
  <si>
    <t>이종통화 정책금리(%)</t>
  </si>
  <si>
    <t>한국 기준금리(%)</t>
  </si>
  <si>
    <t>USD/KRW</t>
  </si>
  <si>
    <t>-</t>
  </si>
  <si>
    <t>이종환율 불필요, 스프레드감안(H)가 최종가격</t>
  </si>
  <si>
    <t>CNH/KRW</t>
  </si>
  <si>
    <t>나눗셈</t>
  </si>
  <si>
    <r>
      <rPr>
        <sz val="11"/>
        <color theme="1"/>
        <rFont val="맑은 고딕"/>
        <family val="2"/>
        <charset val="129"/>
      </rPr>
      <t xml:space="preserve">USD/CNH </t>
    </r>
    <r>
      <rPr>
        <sz val="11"/>
        <color theme="1"/>
        <rFont val="Noto Sans CJK SC"/>
        <family val="2"/>
      </rPr>
      <t>환율 입력</t>
    </r>
  </si>
  <si>
    <t>CNY/KRW</t>
  </si>
  <si>
    <r>
      <rPr>
        <sz val="11"/>
        <color theme="1"/>
        <rFont val="맑은 고딕"/>
        <family val="2"/>
        <charset val="129"/>
      </rPr>
      <t xml:space="preserve">USD/CNY </t>
    </r>
    <r>
      <rPr>
        <sz val="11"/>
        <color theme="1"/>
        <rFont val="Noto Sans CJK SC"/>
        <family val="2"/>
      </rPr>
      <t>환율 입력</t>
    </r>
  </si>
  <si>
    <r>
      <rPr>
        <sz val="11"/>
        <color theme="1"/>
        <rFont val="맑은 고딕"/>
        <family val="2"/>
        <charset val="129"/>
      </rPr>
      <t xml:space="preserve">USD/JPY </t>
    </r>
    <r>
      <rPr>
        <sz val="11"/>
        <color theme="1"/>
        <rFont val="Noto Sans CJK SC"/>
        <family val="2"/>
      </rPr>
      <t>환율 입력</t>
    </r>
    <r>
      <rPr>
        <sz val="11"/>
        <color theme="1"/>
        <rFont val="맑은 고딕"/>
        <family val="2"/>
        <charset val="129"/>
      </rPr>
      <t>, 100</t>
    </r>
    <r>
      <rPr>
        <sz val="11"/>
        <color theme="1"/>
        <rFont val="Noto Sans CJK SC"/>
        <family val="2"/>
      </rPr>
      <t>엔당 표시</t>
    </r>
  </si>
  <si>
    <t>곱셈</t>
  </si>
  <si>
    <r>
      <rPr>
        <sz val="11"/>
        <color theme="1"/>
        <rFont val="맑은 고딕"/>
        <family val="2"/>
        <charset val="129"/>
      </rPr>
      <t xml:space="preserve">EUR/USD </t>
    </r>
    <r>
      <rPr>
        <sz val="11"/>
        <color theme="1"/>
        <rFont val="Noto Sans CJK SC"/>
        <family val="2"/>
      </rPr>
      <t>환율 입력</t>
    </r>
  </si>
  <si>
    <t>AUD/KRW</t>
  </si>
  <si>
    <r>
      <rPr>
        <sz val="11"/>
        <color theme="1"/>
        <rFont val="맑은 고딕"/>
        <family val="2"/>
        <charset val="129"/>
      </rPr>
      <t xml:space="preserve">AUD/USD </t>
    </r>
    <r>
      <rPr>
        <sz val="11"/>
        <color theme="1"/>
        <rFont val="Noto Sans CJK SC"/>
        <family val="2"/>
      </rPr>
      <t>환율 입력</t>
    </r>
  </si>
  <si>
    <t>GBP/KRW</t>
  </si>
  <si>
    <r>
      <rPr>
        <sz val="11"/>
        <color theme="1"/>
        <rFont val="맑은 고딕"/>
        <family val="2"/>
        <charset val="129"/>
      </rPr>
      <t xml:space="preserve">GBP/USD </t>
    </r>
    <r>
      <rPr>
        <sz val="11"/>
        <color theme="1"/>
        <rFont val="Noto Sans CJK SC"/>
        <family val="2"/>
      </rPr>
      <t>환율 입력</t>
    </r>
  </si>
  <si>
    <t>NZD/KRW</t>
  </si>
  <si>
    <r>
      <rPr>
        <sz val="11"/>
        <color theme="1"/>
        <rFont val="맑은 고딕"/>
        <family val="2"/>
        <charset val="129"/>
      </rPr>
      <t xml:space="preserve">NZD/USD </t>
    </r>
    <r>
      <rPr>
        <sz val="11"/>
        <color theme="1"/>
        <rFont val="Noto Sans CJK SC"/>
        <family val="2"/>
      </rPr>
      <t>환율 입력</t>
    </r>
  </si>
  <si>
    <t>HKD/KRW</t>
  </si>
  <si>
    <r>
      <rPr>
        <sz val="11"/>
        <color theme="1"/>
        <rFont val="맑은 고딕"/>
        <family val="2"/>
        <charset val="129"/>
      </rPr>
      <t xml:space="preserve">USD/HKD </t>
    </r>
    <r>
      <rPr>
        <sz val="11"/>
        <color theme="1"/>
        <rFont val="Noto Sans CJK SC"/>
        <family val="2"/>
      </rPr>
      <t>환율 입력</t>
    </r>
  </si>
  <si>
    <t>SGD/KRW</t>
  </si>
  <si>
    <r>
      <rPr>
        <sz val="11"/>
        <color theme="1"/>
        <rFont val="맑은 고딕"/>
        <family val="2"/>
        <charset val="129"/>
      </rPr>
      <t xml:space="preserve">USD/SGD </t>
    </r>
    <r>
      <rPr>
        <sz val="11"/>
        <color theme="1"/>
        <rFont val="Noto Sans CJK SC"/>
        <family val="2"/>
      </rPr>
      <t>환율 입력</t>
    </r>
  </si>
  <si>
    <t>CHF/KRW</t>
  </si>
  <si>
    <r>
      <rPr>
        <sz val="11"/>
        <color theme="1"/>
        <rFont val="맑은 고딕"/>
        <family val="2"/>
        <charset val="129"/>
      </rPr>
      <t xml:space="preserve">USD/CHF </t>
    </r>
    <r>
      <rPr>
        <sz val="11"/>
        <color theme="1"/>
        <rFont val="Noto Sans CJK SC"/>
        <family val="2"/>
      </rPr>
      <t>환율 입력</t>
    </r>
  </si>
  <si>
    <t>CAD/KRW</t>
  </si>
  <si>
    <r>
      <rPr>
        <sz val="11"/>
        <color theme="1"/>
        <rFont val="맑은 고딕"/>
        <family val="2"/>
        <charset val="129"/>
      </rPr>
      <t xml:space="preserve">USD/CAD </t>
    </r>
    <r>
      <rPr>
        <sz val="11"/>
        <color theme="1"/>
        <rFont val="Noto Sans CJK SC"/>
        <family val="2"/>
      </rPr>
      <t>환율 입력</t>
    </r>
  </si>
  <si>
    <t>※ 재정환율계산기의 계산식과 동일: 최종가격 = ROUNDDOWN(원화선물환/이종선물환) - ROUNDDOWN(원화현물/이종현물)</t>
  </si>
  <si>
    <t>※ 정책금리는 참고용 예시값(2026.1 기준) — 반드시 최신 금리로 수정해서 사용</t>
  </si>
  <si>
    <t>※ 곱셈 통화(EUR, AUD, GBP, NZD)는 대미환이 XXX/USD로 고시되므로 곱셈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</si>
</sst>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mm&quot;월 &quot;dd&quot;일&quot;"/>
    <numFmt numFmtId="177" formatCode="0.0000"/>
    <numFmt numFmtId="178" formatCode="0&quot;개월&quot;"/>
    <numFmt numFmtId="179" formatCode="0.000"/>
    <numFmt numFmtId="180" formatCode="yyyy/mm/dd;@"/>
    <numFmt numFmtId="181" formatCode="m/d/yyyy"/>
    <numFmt numFmtId="182" formatCode="_-* #,##0_-;\-* #,##0_-;_-* \-_-;_-@_-"/>
  </numFmts>
  <fonts count="25">
    <font>
      <sz val="11"/>
      <color theme="1"/>
      <name val="맑은 고딕"/>
      <family val="2"/>
      <charset val="129"/>
    </font>
    <font>
      <b/>
      <sz val="11"/>
      <name val="Cambria"/>
      <family val="1"/>
      <charset val="1"/>
    </font>
    <font>
      <b/>
      <sz val="11"/>
      <name val="Noto Sans CJK SC"/>
      <family val="2"/>
    </font>
    <font>
      <sz val="11"/>
      <color theme="1"/>
      <name val="Noto Sans CJK SC"/>
      <family val="2"/>
      <charset val="1"/>
    </font>
    <font>
      <sz val="11"/>
      <color rgb="FF0000FF"/>
      <name val="Cambria"/>
      <family val="1"/>
      <charset val="1"/>
    </font>
    <font>
      <sz val="11"/>
      <name val="Noto Sans CJK SC"/>
      <family val="2"/>
      <charset val="1"/>
    </font>
    <font>
      <sz val="9"/>
      <color rgb="FF808080"/>
      <name val="Noto Sans CJK SC"/>
      <charset val="1"/>
    </font>
    <font>
      <sz val="11"/>
      <name val="맑은 고딕"/>
      <family val="3"/>
      <charset val="129"/>
    </font>
    <font>
      <sz val="11"/>
      <color theme="1"/>
      <name val="Noto Sans CJK SC"/>
      <family val="2"/>
    </font>
    <font>
      <b/>
      <sz val="11"/>
      <color theme="1"/>
      <name val="Noto Sans CJK SC"/>
      <family val="2"/>
      <charset val="1"/>
    </font>
    <font>
      <sz val="11"/>
      <color rgb="FF00B0F0"/>
      <name val="Noto Sans CJK SC"/>
      <family val="2"/>
      <charset val="1"/>
    </font>
    <font>
      <b/>
      <sz val="12"/>
      <name val="Noto Sans CJK SC"/>
      <family val="2"/>
      <charset val="1"/>
    </font>
    <font>
      <b/>
      <sz val="11"/>
      <color theme="1"/>
      <name val="맑은 고딕"/>
      <family val="3"/>
      <charset val="129"/>
    </font>
    <font>
      <sz val="9"/>
      <color rgb="FF808080"/>
      <name val="Noto Sans CJK SC"/>
      <family val="2"/>
      <charset val="1"/>
    </font>
    <font>
      <b/>
      <sz val="11.5"/>
      <color theme="1"/>
      <name val="Noto Sans CJK SC"/>
      <family val="2"/>
      <charset val="1"/>
    </font>
    <font>
      <sz val="11.5"/>
      <color theme="1"/>
      <name val="맑은 고딕"/>
      <family val="2"/>
      <charset val="129"/>
    </font>
    <font>
      <b/>
      <sz val="9"/>
      <color rgb="FF808080"/>
      <name val="Cambria"/>
      <family val="1"/>
      <charset val="1"/>
    </font>
    <font>
      <b/>
      <sz val="9"/>
      <color rgb="FF808080"/>
      <name val="Noto Sans CJK SC"/>
      <family val="2"/>
    </font>
    <font>
      <sz val="9"/>
      <color rgb="FF808080"/>
      <name val="Cambria"/>
      <family val="1"/>
      <charset val="1"/>
    </font>
    <font>
      <sz val="9"/>
      <color rgb="FF808080"/>
      <name val="Noto Sans CJK SC"/>
      <family val="2"/>
    </font>
    <font>
      <b/>
      <sz val="11.5"/>
      <color theme="1"/>
      <name val="맑은 고딕"/>
      <family val="3"/>
      <charset val="129"/>
    </font>
    <font>
      <b/>
      <sz val="11.5"/>
      <color theme="1"/>
      <name val="Noto Sans CJK SC"/>
      <family val="2"/>
    </font>
    <font>
      <b/>
      <sz val="11"/>
      <color theme="1"/>
      <name val="Noto Sans CJK SC"/>
      <family val="2"/>
    </font>
    <font>
      <b/>
      <sz val="11"/>
      <name val="Noto Sans CJK SC"/>
      <family val="2"/>
      <charset val="1"/>
    </font>
    <font>
      <sz val="8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6" tint="0.59978026673177287"/>
        <bgColor rgb="FFD9D9D9"/>
      </patternFill>
    </fill>
    <fill>
      <patternFill patternType="solid">
        <fgColor theme="9" tint="0.39979247413556324"/>
        <bgColor rgb="FFF2BFBE"/>
      </patternFill>
    </fill>
    <fill>
      <patternFill patternType="solid">
        <fgColor rgb="FF00B0F0"/>
        <bgColor rgb="FF33CCCC"/>
      </patternFill>
    </fill>
    <fill>
      <patternFill patternType="solid">
        <fgColor rgb="FFF2BFBE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auto="1"/>
      </left>
      <right style="medium">
        <color rgb="FFFF0000"/>
      </right>
      <top/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5" fillId="2" borderId="2" xfId="0" applyFont="1" applyFill="1" applyBorder="1">
      <alignment vertical="center"/>
    </xf>
    <xf numFmtId="0" fontId="6" fillId="2" borderId="2" xfId="0" applyFont="1" applyFill="1" applyBorder="1" applyAlignment="1">
      <alignment horizontal="right"/>
    </xf>
    <xf numFmtId="1" fontId="4" fillId="3" borderId="1" xfId="0" applyNumberFormat="1" applyFont="1" applyFill="1" applyBorder="1">
      <alignment vertical="center"/>
    </xf>
    <xf numFmtId="0" fontId="7" fillId="0" borderId="0" xfId="0" applyFont="1">
      <alignment vertical="center"/>
    </xf>
    <xf numFmtId="2" fontId="4" fillId="3" borderId="1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9" fillId="5" borderId="7" xfId="0" applyFont="1" applyFill="1" applyBorder="1">
      <alignment vertical="center"/>
    </xf>
    <xf numFmtId="0" fontId="10" fillId="0" borderId="8" xfId="0" applyFont="1" applyBorder="1">
      <alignment vertical="center"/>
    </xf>
    <xf numFmtId="0" fontId="11" fillId="6" borderId="7" xfId="0" applyFont="1" applyFill="1" applyBorder="1">
      <alignment vertical="center"/>
    </xf>
    <xf numFmtId="0" fontId="3" fillId="0" borderId="9" xfId="0" applyFont="1" applyBorder="1">
      <alignment vertical="center"/>
    </xf>
    <xf numFmtId="177" fontId="4" fillId="3" borderId="1" xfId="0" applyNumberFormat="1" applyFont="1" applyFill="1" applyBorder="1">
      <alignment vertical="center"/>
    </xf>
    <xf numFmtId="178" fontId="12" fillId="4" borderId="11" xfId="0" applyNumberFormat="1" applyFont="1" applyFill="1" applyBorder="1">
      <alignment vertical="center"/>
    </xf>
    <xf numFmtId="176" fontId="0" fillId="4" borderId="12" xfId="0" applyNumberFormat="1" applyFill="1" applyBorder="1">
      <alignment vertical="center"/>
    </xf>
    <xf numFmtId="0" fontId="0" fillId="4" borderId="13" xfId="0" applyFill="1" applyBorder="1">
      <alignment vertical="center"/>
    </xf>
    <xf numFmtId="2" fontId="1" fillId="4" borderId="13" xfId="0" applyNumberFormat="1" applyFont="1" applyFill="1" applyBorder="1">
      <alignment vertical="center"/>
    </xf>
    <xf numFmtId="0" fontId="0" fillId="0" borderId="14" xfId="0" applyBorder="1">
      <alignment vertical="center"/>
    </xf>
    <xf numFmtId="0" fontId="13" fillId="2" borderId="0" xfId="0" applyFont="1" applyFill="1">
      <alignment vertical="center"/>
    </xf>
    <xf numFmtId="0" fontId="0" fillId="4" borderId="12" xfId="0" applyFill="1" applyBorder="1">
      <alignment vertical="center"/>
    </xf>
    <xf numFmtId="0" fontId="13" fillId="0" borderId="0" xfId="0" applyFont="1">
      <alignment vertical="center"/>
    </xf>
    <xf numFmtId="179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2" borderId="0" xfId="0" applyFont="1" applyFill="1">
      <alignment vertical="center"/>
    </xf>
    <xf numFmtId="0" fontId="18" fillId="2" borderId="0" xfId="0" applyFont="1" applyFill="1">
      <alignment vertical="center"/>
    </xf>
    <xf numFmtId="178" fontId="12" fillId="4" borderId="15" xfId="0" applyNumberFormat="1" applyFont="1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2" fontId="1" fillId="4" borderId="17" xfId="0" applyNumberFormat="1" applyFont="1" applyFill="1" applyBorder="1">
      <alignment vertical="center"/>
    </xf>
    <xf numFmtId="0" fontId="0" fillId="2" borderId="18" xfId="0" applyFill="1" applyBorder="1">
      <alignment vertical="center"/>
    </xf>
    <xf numFmtId="0" fontId="5" fillId="2" borderId="0" xfId="0" applyFont="1" applyFill="1">
      <alignment vertical="center"/>
    </xf>
    <xf numFmtId="0" fontId="0" fillId="4" borderId="0" xfId="0" applyFill="1">
      <alignment vertical="center"/>
    </xf>
    <xf numFmtId="0" fontId="0" fillId="2" borderId="19" xfId="0" applyFill="1" applyBorder="1">
      <alignment vertical="center"/>
    </xf>
    <xf numFmtId="0" fontId="20" fillId="0" borderId="0" xfId="0" applyFont="1">
      <alignment vertical="center"/>
    </xf>
    <xf numFmtId="180" fontId="12" fillId="0" borderId="0" xfId="0" applyNumberFormat="1" applyFont="1">
      <alignment vertical="center"/>
    </xf>
    <xf numFmtId="181" fontId="12" fillId="4" borderId="21" xfId="0" applyNumberFormat="1" applyFont="1" applyFill="1" applyBorder="1">
      <alignment vertical="center"/>
    </xf>
    <xf numFmtId="0" fontId="0" fillId="4" borderId="21" xfId="0" applyFill="1" applyBorder="1">
      <alignment vertical="center"/>
    </xf>
    <xf numFmtId="2" fontId="1" fillId="4" borderId="21" xfId="0" applyNumberFormat="1" applyFont="1" applyFill="1" applyBorder="1">
      <alignment vertical="center"/>
    </xf>
    <xf numFmtId="181" fontId="12" fillId="4" borderId="13" xfId="0" applyNumberFormat="1" applyFont="1" applyFill="1" applyBorder="1">
      <alignment vertical="center"/>
    </xf>
    <xf numFmtId="180" fontId="12" fillId="0" borderId="22" xfId="0" applyNumberFormat="1" applyFont="1" applyBorder="1">
      <alignment vertical="center"/>
    </xf>
    <xf numFmtId="181" fontId="12" fillId="4" borderId="17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23" xfId="0" applyBorder="1">
      <alignment vertical="center"/>
    </xf>
    <xf numFmtId="0" fontId="12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181" fontId="12" fillId="4" borderId="7" xfId="0" applyNumberFormat="1" applyFont="1" applyFill="1" applyBorder="1">
      <alignment vertical="center"/>
    </xf>
    <xf numFmtId="180" fontId="0" fillId="0" borderId="5" xfId="0" applyNumberFormat="1" applyBorder="1">
      <alignment vertical="center"/>
    </xf>
    <xf numFmtId="178" fontId="12" fillId="4" borderId="7" xfId="0" applyNumberFormat="1" applyFont="1" applyFill="1" applyBorder="1">
      <alignment vertical="center"/>
    </xf>
    <xf numFmtId="180" fontId="0" fillId="0" borderId="1" xfId="0" applyNumberFormat="1" applyBorder="1">
      <alignment vertical="center"/>
    </xf>
    <xf numFmtId="0" fontId="0" fillId="9" borderId="1" xfId="0" applyFill="1" applyBorder="1">
      <alignment vertical="center"/>
    </xf>
    <xf numFmtId="182" fontId="0" fillId="2" borderId="0" xfId="0" applyNumberFormat="1" applyFill="1">
      <alignment vertical="center"/>
    </xf>
    <xf numFmtId="181" fontId="12" fillId="4" borderId="25" xfId="0" applyNumberFormat="1" applyFont="1" applyFill="1" applyBorder="1">
      <alignment vertical="center"/>
    </xf>
    <xf numFmtId="180" fontId="0" fillId="0" borderId="26" xfId="0" applyNumberFormat="1" applyBorder="1">
      <alignment vertical="center"/>
    </xf>
    <xf numFmtId="0" fontId="0" fillId="0" borderId="27" xfId="0" applyBorder="1">
      <alignment vertical="center"/>
    </xf>
    <xf numFmtId="178" fontId="12" fillId="4" borderId="25" xfId="0" applyNumberFormat="1" applyFont="1" applyFill="1" applyBorder="1">
      <alignment vertical="center"/>
    </xf>
    <xf numFmtId="2" fontId="0" fillId="0" borderId="27" xfId="0" applyNumberFormat="1" applyBorder="1">
      <alignment vertical="center"/>
    </xf>
    <xf numFmtId="181" fontId="12" fillId="2" borderId="0" xfId="0" applyNumberFormat="1" applyFont="1" applyFill="1">
      <alignment vertical="center"/>
    </xf>
    <xf numFmtId="176" fontId="0" fillId="2" borderId="0" xfId="0" applyNumberFormat="1" applyFill="1">
      <alignment vertical="center"/>
    </xf>
    <xf numFmtId="181" fontId="12" fillId="4" borderId="28" xfId="0" applyNumberFormat="1" applyFont="1" applyFill="1" applyBorder="1">
      <alignment vertical="center"/>
    </xf>
    <xf numFmtId="180" fontId="0" fillId="0" borderId="29" xfId="0" applyNumberFormat="1" applyBorder="1">
      <alignment vertical="center"/>
    </xf>
    <xf numFmtId="0" fontId="0" fillId="0" borderId="30" xfId="0" applyBorder="1">
      <alignment vertical="center"/>
    </xf>
    <xf numFmtId="178" fontId="12" fillId="4" borderId="28" xfId="0" applyNumberFormat="1" applyFont="1" applyFill="1" applyBorder="1">
      <alignment vertical="center"/>
    </xf>
    <xf numFmtId="181" fontId="0" fillId="2" borderId="0" xfId="0" applyNumberFormat="1" applyFill="1">
      <alignment vertical="center"/>
    </xf>
    <xf numFmtId="181" fontId="0" fillId="0" borderId="0" xfId="0" applyNumberFormat="1" applyAlignment="1"/>
    <xf numFmtId="0" fontId="23" fillId="2" borderId="0" xfId="0" applyFont="1" applyFill="1" applyAlignment="1">
      <alignment horizontal="center"/>
    </xf>
    <xf numFmtId="0" fontId="23" fillId="0" borderId="0" xfId="0" applyFont="1" applyAlignment="1"/>
    <xf numFmtId="0" fontId="3" fillId="0" borderId="0" xfId="0" applyFont="1" applyAlignment="1"/>
    <xf numFmtId="179" fontId="4" fillId="3" borderId="1" xfId="0" applyNumberFormat="1" applyFont="1" applyFill="1" applyBorder="1" applyAlignment="1"/>
    <xf numFmtId="0" fontId="13" fillId="0" borderId="0" xfId="0" applyFont="1" applyAlignment="1"/>
    <xf numFmtId="0" fontId="6" fillId="0" borderId="0" xfId="0" applyFont="1" applyAlignment="1"/>
    <xf numFmtId="0" fontId="0" fillId="2" borderId="0" xfId="0" applyFill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7" borderId="0" xfId="0" applyFont="1" applyFill="1">
      <alignment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2BFB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C7CE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Normal="100" workbookViewId="0"/>
  </sheetViews>
  <sheetFormatPr defaultColWidth="8.5" defaultRowHeight="17"/>
  <cols>
    <col min="1" max="1" width="9.9140625" style="2" customWidth="1"/>
  </cols>
  <sheetData>
    <row r="1" spans="1:1" ht="16.5" customHeight="1">
      <c r="A1" s="3"/>
    </row>
    <row r="2" spans="1:1" ht="16.5" customHeight="1">
      <c r="A2" s="3"/>
    </row>
    <row r="3" spans="1:1" ht="16.5" customHeight="1">
      <c r="A3" s="3"/>
    </row>
  </sheetData>
  <phoneticPr fontId="2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zoomScaleNormal="100" workbookViewId="0">
      <selection activeCell="I5" sqref="I5"/>
    </sheetView>
  </sheetViews>
  <sheetFormatPr defaultColWidth="8.5" defaultRowHeight="17"/>
  <cols>
    <col min="1" max="1" width="18.5" style="2" customWidth="1"/>
    <col min="2" max="2" width="10.5" style="2" customWidth="1"/>
    <col min="3" max="3" width="8.25" style="2" customWidth="1"/>
    <col min="4" max="4" width="12.4140625" style="2" customWidth="1"/>
    <col min="5" max="5" width="7.25" style="2" customWidth="1"/>
    <col min="6" max="6" width="12.1640625" style="2" customWidth="1"/>
    <col min="7" max="7" width="10.75" style="2" customWidth="1"/>
    <col min="8" max="8" width="17.25" style="2" customWidth="1"/>
    <col min="9" max="9" width="11.6640625" style="2" customWidth="1"/>
    <col min="10" max="10" width="10.1640625" style="2" customWidth="1"/>
    <col min="11" max="11" width="24" style="2" customWidth="1"/>
    <col min="12" max="12" width="20" style="2" customWidth="1"/>
    <col min="13" max="13" width="12" style="2" customWidth="1"/>
  </cols>
  <sheetData>
    <row r="1" spans="1:18" ht="16.5" customHeight="1">
      <c r="A1" s="4" t="s">
        <v>0</v>
      </c>
      <c r="B1" s="1"/>
      <c r="C1" s="81"/>
      <c r="D1" s="81"/>
      <c r="E1" s="81"/>
      <c r="F1" s="81"/>
      <c r="G1" s="81"/>
      <c r="H1" s="81"/>
      <c r="I1" s="81"/>
      <c r="J1" s="81"/>
      <c r="K1" s="81"/>
      <c r="L1" s="1"/>
      <c r="M1" s="1"/>
      <c r="N1" s="1"/>
      <c r="O1" s="1"/>
      <c r="P1" s="1"/>
      <c r="Q1" s="1"/>
      <c r="R1" s="1"/>
    </row>
    <row r="2" spans="1:18" ht="17.25" customHeight="1">
      <c r="A2" s="5" t="s">
        <v>1</v>
      </c>
      <c r="B2" s="6" t="s">
        <v>53</v>
      </c>
      <c r="C2" s="7"/>
      <c r="D2" s="7"/>
      <c r="E2" s="7"/>
      <c r="F2" s="8" t="s">
        <v>3</v>
      </c>
      <c r="G2" s="6">
        <v>-5</v>
      </c>
      <c r="H2" s="7"/>
      <c r="I2" s="7"/>
      <c r="J2" s="9" t="s">
        <v>4</v>
      </c>
      <c r="K2" s="10">
        <v>50</v>
      </c>
      <c r="L2" s="11"/>
      <c r="M2" s="11"/>
      <c r="N2" s="1"/>
      <c r="O2" s="1"/>
      <c r="P2" s="1"/>
      <c r="Q2" s="1"/>
      <c r="R2" s="1"/>
    </row>
    <row r="3" spans="1:18" ht="17.25" customHeight="1">
      <c r="A3" s="1" t="s">
        <v>5</v>
      </c>
      <c r="B3" s="12">
        <v>1483.1</v>
      </c>
      <c r="C3" s="13"/>
      <c r="D3" s="82" t="s">
        <v>6</v>
      </c>
      <c r="E3" s="82"/>
      <c r="F3" s="14" t="s">
        <v>7</v>
      </c>
      <c r="G3" s="15" t="s">
        <v>8</v>
      </c>
      <c r="H3" s="16" t="s">
        <v>9</v>
      </c>
      <c r="I3" s="17" t="s">
        <v>10</v>
      </c>
      <c r="J3" s="18" t="s">
        <v>11</v>
      </c>
      <c r="K3" s="19" t="s">
        <v>12</v>
      </c>
      <c r="L3" s="11"/>
      <c r="M3" s="11"/>
      <c r="N3" s="1"/>
      <c r="O3" s="1"/>
      <c r="P3" s="1"/>
      <c r="Q3" s="1"/>
      <c r="R3" s="1"/>
    </row>
    <row r="4" spans="1:18" ht="16.5" customHeight="1">
      <c r="A4" s="5" t="s">
        <v>13</v>
      </c>
      <c r="B4" s="20"/>
      <c r="C4" s="83" t="s">
        <v>14</v>
      </c>
      <c r="D4" s="21">
        <v>1</v>
      </c>
      <c r="E4" s="22"/>
      <c r="F4">
        <v>-80</v>
      </c>
      <c r="G4">
        <f t="shared" ref="G4:G15" si="0">IF(OR($G$2="",D4=""),"",$G$2*D4)</f>
        <v>-5</v>
      </c>
      <c r="H4" s="23">
        <f t="shared" ref="H4:H15" si="1">IF(F4="","",F4+IF(G4="",0,G4))</f>
        <v>-85</v>
      </c>
      <c r="I4"/>
      <c r="J4" s="24">
        <f t="shared" ref="J4:J15" si="2">IF($F4="","",IF($B$2="","",IF($B$2="USD/KRW",H4,IF(OR($B$3="",$B$4="",$I4=""),"",IF($B$5="곱셈",ROUNDDOWN(($B$3+H4/100)*($B$4+$I4/$B$6),$B$7)-ROUNDDOWN($B$3*$B$4,$B$7),ROUNDDOWN(($B$3+H4/100)/($B$4+$I4/$B$6),$B$7)-ROUNDDOWN($B$3/$B$4,$B$7))*$B$8))))</f>
        <v>-85</v>
      </c>
      <c r="K4" s="25" t="str">
        <f t="shared" ref="K4:K15" si="3">IF(OR(J4="",$B$9="",$K$2=""),"",IF(ABS(J4-($B$9/100)*IF($B$2="USD/KRW",$B$3*100,IF($B$5="곱셈",$B$3*$B$4,$B$3/$B$4)*$B$8)*(D4/12))&gt;MAX(ABS(($B$9/100)*IF($B$2="USD/KRW",$B$3*100,IF($B$5="곱셈",$B$3*$B$4,$B$3/$B$4)*$B$8)*(D4/12))*$K$2/100,IF($B$2="USD/KRW",30,2)),"⚠ 입력확인(이론가 "&amp;ROUND(($B$9/100)*IF($B$2="USD/KRW",$B$3*100,IF($B$5="곱셈",$B$3*$B$4,$B$3/$B$4)*$B$8)*(D4/12),1)&amp;")",""))</f>
        <v/>
      </c>
      <c r="L4" s="11"/>
      <c r="M4" s="11"/>
      <c r="N4" s="1"/>
      <c r="O4" s="1"/>
      <c r="P4" s="1"/>
      <c r="Q4" s="1"/>
      <c r="R4" s="1"/>
    </row>
    <row r="5" spans="1:18" ht="17.25" customHeight="1">
      <c r="A5" s="26" t="s">
        <v>15</v>
      </c>
      <c r="B5" s="26" t="str">
        <f>IFERROR(INDEX(통화설정!$B$2:$B$13,MATCH($B$2,통화설정!$A$2:$A$13,0)),"")</f>
        <v>-</v>
      </c>
      <c r="C5" s="83"/>
      <c r="D5" s="21">
        <v>2</v>
      </c>
      <c r="E5" s="22"/>
      <c r="F5">
        <v>-190</v>
      </c>
      <c r="G5">
        <f t="shared" si="0"/>
        <v>-10</v>
      </c>
      <c r="H5" s="23">
        <f t="shared" si="1"/>
        <v>-200</v>
      </c>
      <c r="I5"/>
      <c r="J5" s="24">
        <f t="shared" si="2"/>
        <v>-200</v>
      </c>
      <c r="K5" s="25" t="str">
        <f t="shared" si="3"/>
        <v/>
      </c>
      <c r="L5" s="11"/>
      <c r="M5" s="11"/>
      <c r="N5" s="1"/>
      <c r="O5" s="1"/>
      <c r="P5" s="1"/>
      <c r="Q5" s="1"/>
      <c r="R5" s="1"/>
    </row>
    <row r="6" spans="1:18" ht="17.25" customHeight="1">
      <c r="A6" s="26" t="s">
        <v>16</v>
      </c>
      <c r="B6" s="26" t="str">
        <f>IFERROR(INDEX(통화설정!$C$2:$C$13,MATCH($B$2,통화설정!$A$2:$A$13,0)),"")</f>
        <v>-</v>
      </c>
      <c r="C6" s="83"/>
      <c r="D6" s="21">
        <v>3</v>
      </c>
      <c r="E6" s="22"/>
      <c r="F6">
        <v>-320</v>
      </c>
      <c r="G6">
        <f t="shared" si="0"/>
        <v>-15</v>
      </c>
      <c r="H6" s="23">
        <f t="shared" si="1"/>
        <v>-335</v>
      </c>
      <c r="I6"/>
      <c r="J6" s="24">
        <f t="shared" si="2"/>
        <v>-335</v>
      </c>
      <c r="K6" s="25" t="str">
        <f>IF(OR(J6="",$B$9="",$K$2=""),"",IF(ABS(J6-($B$9/100)*IF($B$2="USD/KRW",$B$3*100,IF($B$5="곱셈",$B$3*$B$4,$B$3/$B$4)*$B$8)*(D6/12))&gt;MAX(ABS(($B$9/100)*IF($B$2="USD/KRW",$B$3*100,IF($B$5="곱셈",$B$3*$B$4,$B$3/$B$4)*$B$8)*(D6/12))*$K$2/100,IF($B$2="USD/KRW",30,2)),"⚠ 입력확인(이론가 "&amp;ROUND(($B$9/100)*IF($B$2="USD/KRW",$B$3*100,IF($B$5="곱셈",$B$3*$B$4,$B$3/$B$4)*$B$8)*(D6/12),1)&amp;")",""))</f>
        <v/>
      </c>
      <c r="L6" s="11"/>
      <c r="M6" s="11"/>
      <c r="N6" s="1"/>
      <c r="O6" s="1"/>
      <c r="P6" s="1"/>
      <c r="Q6" s="1"/>
      <c r="R6" s="1"/>
    </row>
    <row r="7" spans="1:18" ht="17.25" customHeight="1">
      <c r="A7" s="26" t="s">
        <v>17</v>
      </c>
      <c r="B7" s="26" t="str">
        <f>IFERROR(INDEX(통화설정!$D$2:$D$13,MATCH($B$2,통화설정!$A$2:$A$13,0)),"")</f>
        <v>-</v>
      </c>
      <c r="C7" s="83"/>
      <c r="D7" s="21">
        <v>4</v>
      </c>
      <c r="E7" s="27"/>
      <c r="F7">
        <v>-460</v>
      </c>
      <c r="G7">
        <f t="shared" si="0"/>
        <v>-20</v>
      </c>
      <c r="H7" s="23">
        <f t="shared" si="1"/>
        <v>-480</v>
      </c>
      <c r="I7"/>
      <c r="J7" s="24">
        <f t="shared" si="2"/>
        <v>-480</v>
      </c>
      <c r="K7" s="25" t="str">
        <f>IF(OR(J7="",$B$9="",$K$2=""),"",IF(ABS(J7-($B$9/100)*IF($B$2="USD/KRW",$B$3*100,IF($B$5="곱셈",$B$3*$B$4,$B$3/$B$4)*$B$8)*(D7/12))&gt;MAX(ABS(($B$9/100)*IF($B$2="USD/KRW",$B$3*100,IF($B$5="곱셈",$B$3*$B$4,$B$3/$B$4)*$B$8)*(D7/12))*$K$2/100,IF($B$2="USD/KRW",30,2)),"⚠ 입력확인(이론가 "&amp;ROUND(($B$9/100)*IF($B$2="USD/KRW",$B$3*100,IF($B$5="곱셈",$B$3*$B$4,$B$3/$B$4)*$B$8)*(D7/12),1)&amp;")",""))</f>
        <v/>
      </c>
      <c r="L7" s="11"/>
      <c r="M7" s="11"/>
      <c r="N7" s="1"/>
      <c r="O7" s="1"/>
      <c r="P7" s="1"/>
      <c r="Q7" s="1"/>
      <c r="R7" s="1"/>
    </row>
    <row r="8" spans="1:18" ht="17.25" customHeight="1">
      <c r="A8" s="26" t="s">
        <v>18</v>
      </c>
      <c r="B8" s="26">
        <f>IFERROR(INDEX(통화설정!$E$2:$E$13,MATCH($B$2,통화설정!$A$2:$A$13,0)),"")</f>
        <v>1</v>
      </c>
      <c r="C8" s="83"/>
      <c r="D8" s="21">
        <v>5</v>
      </c>
      <c r="E8" s="27"/>
      <c r="F8">
        <v>-579</v>
      </c>
      <c r="G8">
        <f t="shared" si="0"/>
        <v>-25</v>
      </c>
      <c r="H8" s="23">
        <f t="shared" si="1"/>
        <v>-604</v>
      </c>
      <c r="I8"/>
      <c r="J8" s="24">
        <f t="shared" si="2"/>
        <v>-604</v>
      </c>
      <c r="K8" s="25" t="str">
        <f>IF(OR(J8="",$B$9="",$K$2=""),"",IF(ABS(J8-($B$9/100)*IF($B$2="USD/KRW",$B$3*100,IF($B$5="곱셈",$B$3*$B$4,$B$3/$B$4)*$B$8)*(D8/12))&gt;MAX(ABS(($B$9/100)*IF($B$2="USD/KRW",$B$3*100,IF($B$5="곱셈",$B$3*$B$4,$B$3/$B$4)*$B$8)*(D8/12))*$K$2/100,IF($B$2="USD/KRW",30,2)),"⚠ 입력확인(이론가 "&amp;ROUND(($B$9/100)*IF($B$2="USD/KRW",$B$3*100,IF($B$5="곱셈",$B$3*$B$4,$B$3/$B$4)*$B$8)*(D8/12),1)&amp;")",""))</f>
        <v/>
      </c>
      <c r="L8" s="11"/>
      <c r="M8" s="11"/>
      <c r="N8" s="1"/>
      <c r="O8" s="1"/>
      <c r="P8" s="1"/>
      <c r="Q8" s="1"/>
      <c r="R8" s="1"/>
    </row>
    <row r="9" spans="1:18" ht="17.25" customHeight="1">
      <c r="A9" s="28" t="s">
        <v>19</v>
      </c>
      <c r="B9" s="29">
        <f>IFERROR(통화설정!$H$2-INDEX(통화설정!$G$2:$G$13,MATCH($B$2,통화설정!$A$2:$A$13,0)),"")</f>
        <v>-1.125</v>
      </c>
      <c r="C9" s="83"/>
      <c r="D9" s="21">
        <v>6</v>
      </c>
      <c r="E9" s="27"/>
      <c r="F9">
        <v>-720</v>
      </c>
      <c r="G9">
        <f t="shared" si="0"/>
        <v>-30</v>
      </c>
      <c r="H9" s="23">
        <f t="shared" si="1"/>
        <v>-750</v>
      </c>
      <c r="I9"/>
      <c r="J9" s="24">
        <f t="shared" si="2"/>
        <v>-750</v>
      </c>
      <c r="K9" s="25" t="str">
        <f t="shared" si="3"/>
        <v/>
      </c>
      <c r="L9" s="11"/>
      <c r="M9" s="11"/>
      <c r="N9" s="1"/>
      <c r="O9" s="1"/>
      <c r="P9" s="1"/>
      <c r="Q9" s="1"/>
      <c r="R9" s="1"/>
    </row>
    <row r="10" spans="1:18" ht="17.25" customHeight="1">
      <c r="A10" s="30" t="s">
        <v>20</v>
      </c>
      <c r="B10" s="31">
        <v>15</v>
      </c>
      <c r="C10" s="83"/>
      <c r="D10" s="21">
        <v>7</v>
      </c>
      <c r="E10" s="27"/>
      <c r="F10">
        <v>-831</v>
      </c>
      <c r="G10">
        <f t="shared" si="0"/>
        <v>-35</v>
      </c>
      <c r="H10" s="23">
        <f t="shared" si="1"/>
        <v>-866</v>
      </c>
      <c r="I10"/>
      <c r="J10" s="24">
        <f t="shared" si="2"/>
        <v>-866</v>
      </c>
      <c r="K10" s="25" t="str">
        <f t="shared" si="3"/>
        <v/>
      </c>
      <c r="L10" s="1"/>
      <c r="M10" s="1"/>
      <c r="N10" s="1"/>
      <c r="O10" s="1"/>
      <c r="P10" s="1"/>
      <c r="Q10" s="1"/>
      <c r="R10" s="1"/>
    </row>
    <row r="11" spans="1:18" ht="17.25" customHeight="1">
      <c r="A11" s="30" t="s">
        <v>21</v>
      </c>
      <c r="B11" s="31">
        <v>8</v>
      </c>
      <c r="C11" s="83"/>
      <c r="D11" s="21">
        <v>8</v>
      </c>
      <c r="E11" s="27"/>
      <c r="F11">
        <v>-937</v>
      </c>
      <c r="G11">
        <f t="shared" si="0"/>
        <v>-40</v>
      </c>
      <c r="H11" s="23">
        <f t="shared" si="1"/>
        <v>-977</v>
      </c>
      <c r="I11"/>
      <c r="J11" s="24">
        <f t="shared" si="2"/>
        <v>-977</v>
      </c>
      <c r="K11" s="25" t="str">
        <f t="shared" si="3"/>
        <v/>
      </c>
      <c r="L11" s="32" t="s">
        <v>22</v>
      </c>
      <c r="M11" s="1"/>
      <c r="N11" s="1"/>
      <c r="O11" s="1"/>
      <c r="P11" s="1"/>
      <c r="Q11" s="1"/>
      <c r="R11" s="1"/>
    </row>
    <row r="12" spans="1:18" ht="17.25" customHeight="1">
      <c r="A12" s="30" t="s">
        <v>23</v>
      </c>
      <c r="B12" s="31">
        <v>12</v>
      </c>
      <c r="C12" s="83"/>
      <c r="D12" s="21">
        <v>9</v>
      </c>
      <c r="E12" s="27"/>
      <c r="F12">
        <v>-1060</v>
      </c>
      <c r="G12">
        <f t="shared" si="0"/>
        <v>-45</v>
      </c>
      <c r="H12" s="23">
        <f t="shared" si="1"/>
        <v>-1105</v>
      </c>
      <c r="I12"/>
      <c r="J12" s="24">
        <f t="shared" si="2"/>
        <v>-1105</v>
      </c>
      <c r="K12" s="25" t="str">
        <f t="shared" si="3"/>
        <v/>
      </c>
      <c r="L12" s="33" t="s">
        <v>24</v>
      </c>
      <c r="M12" s="1"/>
      <c r="N12" s="1"/>
      <c r="O12" s="1"/>
      <c r="P12" s="1"/>
      <c r="Q12" s="1"/>
      <c r="R12" s="1"/>
    </row>
    <row r="13" spans="1:18" ht="17.25" customHeight="1">
      <c r="A13" s="30" t="s">
        <v>25</v>
      </c>
      <c r="B13" s="31">
        <v>8</v>
      </c>
      <c r="C13" s="83"/>
      <c r="D13" s="21">
        <v>10</v>
      </c>
      <c r="E13" s="27"/>
      <c r="F13">
        <v>-1159</v>
      </c>
      <c r="G13">
        <f t="shared" si="0"/>
        <v>-50</v>
      </c>
      <c r="H13" s="23">
        <f t="shared" si="1"/>
        <v>-1209</v>
      </c>
      <c r="I13"/>
      <c r="J13" s="24">
        <f t="shared" si="2"/>
        <v>-1209</v>
      </c>
      <c r="K13" s="25" t="str">
        <f t="shared" si="3"/>
        <v/>
      </c>
      <c r="L13" s="33" t="s">
        <v>26</v>
      </c>
      <c r="M13" s="1"/>
      <c r="N13" s="1"/>
      <c r="O13" s="1"/>
      <c r="P13" s="1"/>
      <c r="Q13" s="1"/>
      <c r="R13" s="1"/>
    </row>
    <row r="14" spans="1:18" ht="17.25" customHeight="1">
      <c r="A14" s="30" t="s">
        <v>27</v>
      </c>
      <c r="B14" s="31">
        <v>13</v>
      </c>
      <c r="C14" s="83"/>
      <c r="D14" s="21">
        <v>11</v>
      </c>
      <c r="E14" s="27"/>
      <c r="F14">
        <v>-1271</v>
      </c>
      <c r="G14">
        <f t="shared" si="0"/>
        <v>-55</v>
      </c>
      <c r="H14" s="23">
        <f t="shared" si="1"/>
        <v>-1326</v>
      </c>
      <c r="I14"/>
      <c r="J14" s="24">
        <f t="shared" si="2"/>
        <v>-1326</v>
      </c>
      <c r="K14" s="25" t="str">
        <f t="shared" si="3"/>
        <v/>
      </c>
      <c r="L14" s="33" t="s">
        <v>28</v>
      </c>
      <c r="M14" s="1"/>
      <c r="N14" s="1"/>
      <c r="O14" s="1"/>
      <c r="P14" s="1"/>
      <c r="Q14" s="1"/>
      <c r="R14" s="1"/>
    </row>
    <row r="15" spans="1:18" ht="17.25" customHeight="1">
      <c r="A15" s="30" t="s">
        <v>29</v>
      </c>
      <c r="B15" s="31">
        <v>5</v>
      </c>
      <c r="C15" s="83"/>
      <c r="D15" s="34">
        <v>12</v>
      </c>
      <c r="E15" s="35"/>
      <c r="F15">
        <v>-1390</v>
      </c>
      <c r="G15">
        <f t="shared" si="0"/>
        <v>-60</v>
      </c>
      <c r="H15" s="36">
        <f t="shared" si="1"/>
        <v>-1450</v>
      </c>
      <c r="I15"/>
      <c r="J15" s="37">
        <f t="shared" si="2"/>
        <v>-1450</v>
      </c>
      <c r="K15" s="25" t="str">
        <f t="shared" si="3"/>
        <v/>
      </c>
      <c r="L15" s="33" t="s">
        <v>30</v>
      </c>
      <c r="M15" s="1"/>
      <c r="N15" s="1"/>
      <c r="O15" s="1"/>
      <c r="P15" s="1"/>
      <c r="Q15" s="1"/>
      <c r="R15" s="1"/>
    </row>
    <row r="16" spans="1:18" ht="17.25" customHeight="1">
      <c r="A16" s="30" t="s">
        <v>31</v>
      </c>
      <c r="B16" s="31">
        <v>15</v>
      </c>
      <c r="C16" s="38"/>
      <c r="D16" s="1"/>
      <c r="E16" s="1"/>
      <c r="F16" s="39" t="s">
        <v>3</v>
      </c>
      <c r="G16" s="6"/>
      <c r="H16" s="1"/>
      <c r="I16" s="1"/>
      <c r="J16" s="40"/>
      <c r="K16" s="41"/>
      <c r="L16" s="33" t="s">
        <v>32</v>
      </c>
      <c r="M16" s="1"/>
      <c r="N16" s="1"/>
      <c r="O16" s="1"/>
      <c r="P16" s="1"/>
      <c r="Q16" s="1"/>
      <c r="R16" s="1"/>
    </row>
    <row r="17" spans="1:18" ht="16.5" customHeight="1">
      <c r="A17" s="42" t="s">
        <v>33</v>
      </c>
      <c r="B17" s="31"/>
      <c r="C17" s="84" t="s">
        <v>34</v>
      </c>
      <c r="D17" s="43">
        <v>46255</v>
      </c>
      <c r="E17" s="44" t="str">
        <f t="shared" ref="E17:E27" ca="1" si="4">IF(D17="","",ROUND(YEARFRAC(TODAY(),D17,1)*12,0)&amp;"M")</f>
        <v>1M</v>
      </c>
      <c r="F17">
        <v>-80</v>
      </c>
      <c r="G17" t="str">
        <f t="shared" ref="G17:G27" ca="1" si="5">IF(OR($G$16="",E17=""),"",$G$16*VALUE(SUBSTITUTE(E17,"M","")))</f>
        <v/>
      </c>
      <c r="H17" s="45">
        <f t="shared" ref="H17:H27" ca="1" si="6">IF(F17="","",F17+IF(G17="",0,G17))</f>
        <v>-80</v>
      </c>
      <c r="I17"/>
      <c r="J17" s="46">
        <f t="shared" ref="J17:J27" ca="1" si="7">IF($F17="","",IF($B$2="","",IF($B$2="USD/KRW",H17,IF(OR($B$3="",$B$4="",$I17=""),"",IF($B$5="곱셈",ROUNDDOWN(($B$3+H17/100)*($B$4+$I17/$B$6),$B$7)-ROUNDDOWN($B$3*$B$4,$B$7),ROUNDDOWN(($B$3+H17/100)/($B$4+$I17/$B$6),$B$7)-ROUNDDOWN($B$3/$B$4,$B$7))*$B$8))))</f>
        <v>-80</v>
      </c>
      <c r="K17" s="25" t="str">
        <f t="shared" ref="K17:K27" ca="1" si="8">IF(OR(J17="",$B$9="",$K$2="",E17=""),"",IF(ABS(J17-($B$9/100)*IF($B$2="USD/KRW",$B$3*100,IF($B$5="곱셈",$B$3*$B$4,$B$3/$B$4)*$B$8)*(VALUE(SUBSTITUTE(E17,"M",""))/12))&gt;MAX(ABS(($B$9/100)*IF($B$2="USD/KRW",$B$3*100,IF($B$5="곱셈",$B$3*$B$4,$B$3/$B$4)*$B$8)*(VALUE(SUBSTITUTE(E17,"M",""))/12))*$K$2/100,IF($B$2="USD/KRW",30,2)),"⚠ 입력확인(이론가 "&amp;ROUND(($B$9/100)*IF($B$2="USD/KRW",$B$3*100,IF($B$5="곱셈",$B$3*$B$4,$B$3/$B$4)*$B$8)*(VALUE(SUBSTITUTE(E17,"M",""))/12),1)&amp;")",""))</f>
        <v/>
      </c>
      <c r="L17" s="1"/>
      <c r="M17" s="1"/>
      <c r="N17" s="1"/>
      <c r="O17" s="1"/>
      <c r="P17" s="1"/>
      <c r="Q17" s="1"/>
      <c r="R17" s="1"/>
    </row>
    <row r="18" spans="1:18" ht="17.25" customHeight="1">
      <c r="A18" s="30" t="s">
        <v>35</v>
      </c>
      <c r="B18" s="31">
        <v>10</v>
      </c>
      <c r="C18" s="84"/>
      <c r="D18" s="43">
        <v>46286</v>
      </c>
      <c r="E18" s="47" t="str">
        <f t="shared" ca="1" si="4"/>
        <v>2M</v>
      </c>
      <c r="F18">
        <v>-190</v>
      </c>
      <c r="G18" t="str">
        <f t="shared" ca="1" si="5"/>
        <v/>
      </c>
      <c r="H18" s="23">
        <f t="shared" ca="1" si="6"/>
        <v>-190</v>
      </c>
      <c r="I18"/>
      <c r="J18" s="24">
        <f t="shared" ca="1" si="7"/>
        <v>-190</v>
      </c>
      <c r="K18" s="25" t="str">
        <f t="shared" ca="1" si="8"/>
        <v/>
      </c>
      <c r="L18" s="1"/>
      <c r="M18" s="1"/>
      <c r="N18" s="1"/>
      <c r="O18" s="1"/>
      <c r="P18" s="1"/>
      <c r="Q18" s="1"/>
      <c r="R18" s="1"/>
    </row>
    <row r="19" spans="1:18" ht="17.25" customHeight="1">
      <c r="A19" s="30" t="s">
        <v>36</v>
      </c>
      <c r="B19" s="31">
        <v>7</v>
      </c>
      <c r="C19" s="84"/>
      <c r="D19" s="43">
        <v>46316</v>
      </c>
      <c r="E19" s="47" t="str">
        <f t="shared" ca="1" si="4"/>
        <v>3M</v>
      </c>
      <c r="F19">
        <v>-320</v>
      </c>
      <c r="G19" t="str">
        <f t="shared" ca="1" si="5"/>
        <v/>
      </c>
      <c r="H19" s="23">
        <f t="shared" ca="1" si="6"/>
        <v>-320</v>
      </c>
      <c r="I19"/>
      <c r="J19" s="24">
        <f t="shared" ca="1" si="7"/>
        <v>-320</v>
      </c>
      <c r="K19" s="25" t="str">
        <f t="shared" ca="1" si="8"/>
        <v/>
      </c>
      <c r="L19" s="1"/>
      <c r="M19" s="1"/>
      <c r="N19" s="1"/>
      <c r="O19" s="1"/>
      <c r="P19" s="1"/>
      <c r="Q19" s="1"/>
      <c r="R19" s="1"/>
    </row>
    <row r="20" spans="1:18" ht="17.25" customHeight="1">
      <c r="A20" s="30" t="s">
        <v>37</v>
      </c>
      <c r="B20" s="31"/>
      <c r="C20" s="84"/>
      <c r="D20" s="43">
        <v>46349</v>
      </c>
      <c r="E20" s="47" t="str">
        <f t="shared" ca="1" si="4"/>
        <v>4M</v>
      </c>
      <c r="F20">
        <v>-460</v>
      </c>
      <c r="G20" t="str">
        <f t="shared" ca="1" si="5"/>
        <v/>
      </c>
      <c r="H20" s="23">
        <f t="shared" ca="1" si="6"/>
        <v>-460</v>
      </c>
      <c r="I20"/>
      <c r="J20" s="24">
        <f t="shared" ca="1" si="7"/>
        <v>-460</v>
      </c>
      <c r="K20" s="25" t="str">
        <f t="shared" ca="1" si="8"/>
        <v/>
      </c>
      <c r="L20" s="1"/>
      <c r="M20" s="1"/>
      <c r="N20" s="1"/>
      <c r="O20" s="1"/>
      <c r="P20" s="1"/>
      <c r="Q20" s="1"/>
      <c r="R20" s="1"/>
    </row>
    <row r="21" spans="1:18" ht="17.25" customHeight="1">
      <c r="A21" s="30" t="s">
        <v>38</v>
      </c>
      <c r="B21" s="31">
        <v>10</v>
      </c>
      <c r="C21" s="84"/>
      <c r="D21" s="43">
        <v>46377</v>
      </c>
      <c r="E21" s="47" t="str">
        <f t="shared" ca="1" si="4"/>
        <v>5M</v>
      </c>
      <c r="F21">
        <v>-579</v>
      </c>
      <c r="G21" t="str">
        <f t="shared" ca="1" si="5"/>
        <v/>
      </c>
      <c r="H21" s="23">
        <f t="shared" ca="1" si="6"/>
        <v>-579</v>
      </c>
      <c r="I21"/>
      <c r="J21" s="24">
        <f t="shared" ca="1" si="7"/>
        <v>-579</v>
      </c>
      <c r="K21" s="25" t="str">
        <f t="shared" ca="1" si="8"/>
        <v/>
      </c>
      <c r="L21" s="1"/>
      <c r="M21" s="1"/>
      <c r="N21" s="1"/>
      <c r="O21" s="1"/>
      <c r="P21" s="1"/>
      <c r="Q21" s="1"/>
      <c r="R21" s="1"/>
    </row>
    <row r="22" spans="1:18" ht="17.25" customHeight="1">
      <c r="A22" s="30" t="s">
        <v>39</v>
      </c>
      <c r="B22" s="31">
        <v>10</v>
      </c>
      <c r="C22" s="84"/>
      <c r="D22" s="43">
        <v>46408</v>
      </c>
      <c r="E22" s="47" t="str">
        <f t="shared" ca="1" si="4"/>
        <v>6M</v>
      </c>
      <c r="F22">
        <v>-720</v>
      </c>
      <c r="G22" t="str">
        <f t="shared" ca="1" si="5"/>
        <v/>
      </c>
      <c r="H22" s="23">
        <f t="shared" ca="1" si="6"/>
        <v>-720</v>
      </c>
      <c r="I22"/>
      <c r="J22" s="24">
        <f t="shared" ca="1" si="7"/>
        <v>-720</v>
      </c>
      <c r="K22" s="25" t="str">
        <f t="shared" ca="1" si="8"/>
        <v/>
      </c>
      <c r="L22" s="1"/>
      <c r="M22" s="1"/>
      <c r="N22" s="1"/>
      <c r="O22" s="1"/>
      <c r="P22" s="1"/>
      <c r="Q22" s="1"/>
      <c r="R22" s="1"/>
    </row>
    <row r="23" spans="1:18" ht="17.25" customHeight="1">
      <c r="A23" s="42" t="s">
        <v>40</v>
      </c>
      <c r="B23" s="31">
        <v>10</v>
      </c>
      <c r="C23" s="84"/>
      <c r="D23" s="43"/>
      <c r="E23" s="47" t="str">
        <f t="shared" ca="1" si="4"/>
        <v/>
      </c>
      <c r="F23"/>
      <c r="G23" t="str">
        <f t="shared" ca="1" si="5"/>
        <v/>
      </c>
      <c r="H23" s="23" t="str">
        <f t="shared" si="6"/>
        <v/>
      </c>
      <c r="I23"/>
      <c r="J23" s="24" t="str">
        <f t="shared" si="7"/>
        <v/>
      </c>
      <c r="K23" s="25" t="str">
        <f t="shared" ca="1" si="8"/>
        <v/>
      </c>
      <c r="L23" s="1"/>
      <c r="M23" s="1"/>
      <c r="N23" s="1"/>
      <c r="O23" s="1"/>
      <c r="P23" s="1"/>
      <c r="Q23" s="1"/>
      <c r="R23" s="1"/>
    </row>
    <row r="24" spans="1:18" ht="17.25" customHeight="1">
      <c r="A24" s="30" t="s">
        <v>41</v>
      </c>
      <c r="B24" s="31"/>
      <c r="C24" s="84"/>
      <c r="D24" s="43"/>
      <c r="E24" s="47" t="str">
        <f t="shared" ca="1" si="4"/>
        <v/>
      </c>
      <c r="F24"/>
      <c r="G24" t="str">
        <f t="shared" ca="1" si="5"/>
        <v/>
      </c>
      <c r="H24" s="23" t="str">
        <f t="shared" si="6"/>
        <v/>
      </c>
      <c r="I24"/>
      <c r="J24" s="24" t="str">
        <f t="shared" si="7"/>
        <v/>
      </c>
      <c r="K24" s="25" t="str">
        <f t="shared" ca="1" si="8"/>
        <v/>
      </c>
      <c r="L24" s="1"/>
      <c r="M24" s="1"/>
      <c r="N24" s="1"/>
      <c r="O24" s="1"/>
      <c r="P24" s="1"/>
      <c r="Q24" s="1"/>
      <c r="R24" s="1"/>
    </row>
    <row r="25" spans="1:18" ht="17.25" customHeight="1">
      <c r="A25" s="30" t="s">
        <v>42</v>
      </c>
      <c r="B25" s="31">
        <v>5</v>
      </c>
      <c r="C25" s="84"/>
      <c r="D25" s="43"/>
      <c r="E25" s="47" t="str">
        <f t="shared" ca="1" si="4"/>
        <v/>
      </c>
      <c r="F25"/>
      <c r="G25" t="str">
        <f t="shared" ca="1" si="5"/>
        <v/>
      </c>
      <c r="H25" s="23" t="str">
        <f t="shared" si="6"/>
        <v/>
      </c>
      <c r="I25"/>
      <c r="J25" s="24" t="str">
        <f t="shared" si="7"/>
        <v/>
      </c>
      <c r="K25" s="25" t="str">
        <f t="shared" ca="1" si="8"/>
        <v/>
      </c>
      <c r="L25" s="1"/>
      <c r="M25" s="1"/>
      <c r="N25" s="1"/>
      <c r="O25" s="1"/>
      <c r="P25" s="1"/>
      <c r="Q25" s="1"/>
      <c r="R25" s="1"/>
    </row>
    <row r="26" spans="1:18" ht="17.25" customHeight="1">
      <c r="A26" s="30" t="s">
        <v>43</v>
      </c>
      <c r="B26" s="31" t="s">
        <v>44</v>
      </c>
      <c r="C26" s="84"/>
      <c r="D26" s="43"/>
      <c r="E26" s="47" t="str">
        <f t="shared" ca="1" si="4"/>
        <v/>
      </c>
      <c r="F26"/>
      <c r="G26" t="str">
        <f t="shared" ca="1" si="5"/>
        <v/>
      </c>
      <c r="H26" s="23" t="str">
        <f t="shared" si="6"/>
        <v/>
      </c>
      <c r="I26"/>
      <c r="J26" s="24" t="str">
        <f t="shared" si="7"/>
        <v/>
      </c>
      <c r="K26" s="25" t="str">
        <f t="shared" ca="1" si="8"/>
        <v/>
      </c>
      <c r="L26" s="1"/>
      <c r="M26" s="1"/>
      <c r="N26" s="1"/>
      <c r="O26" s="1"/>
      <c r="P26" s="1"/>
      <c r="Q26" s="1"/>
      <c r="R26" s="1"/>
    </row>
    <row r="27" spans="1:18" ht="17.25" customHeight="1">
      <c r="A27" s="42" t="s">
        <v>45</v>
      </c>
      <c r="B27" s="31">
        <v>5</v>
      </c>
      <c r="C27" s="84"/>
      <c r="D27" s="48"/>
      <c r="E27" s="49" t="str">
        <f t="shared" ca="1" si="4"/>
        <v/>
      </c>
      <c r="F27" s="50"/>
      <c r="G27" s="50" t="str">
        <f t="shared" ca="1" si="5"/>
        <v/>
      </c>
      <c r="H27" s="36" t="str">
        <f t="shared" si="6"/>
        <v/>
      </c>
      <c r="I27" s="50"/>
      <c r="J27" s="37" t="str">
        <f t="shared" si="7"/>
        <v/>
      </c>
      <c r="K27" s="51" t="str">
        <f t="shared" ca="1" si="8"/>
        <v/>
      </c>
      <c r="L27" s="1"/>
      <c r="M27" s="1"/>
      <c r="N27" s="1"/>
      <c r="O27" s="1"/>
      <c r="P27" s="1"/>
      <c r="Q27" s="1"/>
      <c r="R27" s="1"/>
    </row>
    <row r="28" spans="1:18" ht="21" customHeight="1" thickBot="1">
      <c r="A28" s="1"/>
      <c r="B28" s="1"/>
      <c r="C28" s="85" t="s">
        <v>46</v>
      </c>
      <c r="D28" s="85"/>
      <c r="E28" s="1"/>
      <c r="F28" s="1"/>
      <c r="G28" s="52" t="s">
        <v>47</v>
      </c>
      <c r="H28" s="53"/>
      <c r="I28" s="1"/>
      <c r="J28" s="54" t="s">
        <v>11</v>
      </c>
      <c r="K28" s="1"/>
      <c r="L28" s="1"/>
      <c r="M28" s="55" t="s">
        <v>48</v>
      </c>
      <c r="N28" s="1"/>
      <c r="O28" s="1"/>
      <c r="P28" s="1"/>
      <c r="Q28" s="1"/>
      <c r="R28" s="1"/>
    </row>
    <row r="29" spans="1:18" ht="16.5" customHeight="1">
      <c r="A29" s="1"/>
      <c r="B29" s="1"/>
      <c r="C29" s="1"/>
      <c r="D29" s="1"/>
      <c r="E29" s="56" t="str">
        <f t="shared" ref="E29:E34" ca="1" si="9">IF(F29="","",ROUND((F29-TODAY())/30.4,0)&amp;"M")</f>
        <v>1M</v>
      </c>
      <c r="F29" s="57">
        <v>46255</v>
      </c>
      <c r="G29" s="15">
        <v>-90</v>
      </c>
      <c r="H29" s="58" t="str">
        <f t="shared" ref="H29:H42" ca="1" si="10">IF(I29="","",ROUND((I29-TODAY())/30.4,0)&amp;"M")</f>
        <v>1M</v>
      </c>
      <c r="I29" s="57">
        <v>46255</v>
      </c>
      <c r="J29" s="15">
        <v>-118.85</v>
      </c>
      <c r="K29" s="58" t="str">
        <f t="shared" ref="K29:K42" ca="1" si="11">IF(L29="","",ROUND((L29-TODAY())/30.4,0)&amp;"M")</f>
        <v>3M</v>
      </c>
      <c r="L29" s="59">
        <v>46316</v>
      </c>
      <c r="M29" s="60">
        <f t="shared" ref="M29:M42" si="12">J29/100</f>
        <v>-1.1884999999999999</v>
      </c>
      <c r="N29" s="1"/>
      <c r="O29" s="1"/>
      <c r="P29" s="1"/>
      <c r="Q29" s="1"/>
      <c r="R29" s="1"/>
    </row>
    <row r="30" spans="1:18" ht="16.5" customHeight="1">
      <c r="A30" s="1"/>
      <c r="B30" s="1"/>
      <c r="C30" s="61"/>
      <c r="D30" s="1"/>
      <c r="E30" s="62" t="str">
        <f t="shared" ca="1" si="9"/>
        <v>2M</v>
      </c>
      <c r="F30" s="63">
        <v>46286</v>
      </c>
      <c r="G30" s="64">
        <v>-208</v>
      </c>
      <c r="H30" s="65" t="str">
        <f t="shared" ca="1" si="10"/>
        <v>2M</v>
      </c>
      <c r="I30" s="63">
        <v>46286</v>
      </c>
      <c r="J30" s="64">
        <v>-162.65</v>
      </c>
      <c r="K30" s="65" t="str">
        <f t="shared" ca="1" si="11"/>
        <v>4M</v>
      </c>
      <c r="L30" s="59">
        <v>46349</v>
      </c>
      <c r="M30" s="60">
        <f t="shared" si="12"/>
        <v>-1.6265000000000001</v>
      </c>
      <c r="N30" s="1"/>
      <c r="O30" s="1"/>
      <c r="P30" s="1"/>
      <c r="Q30" s="1"/>
      <c r="R30" s="1"/>
    </row>
    <row r="31" spans="1:18" ht="16.5" customHeight="1">
      <c r="A31" s="67"/>
      <c r="B31" s="1"/>
      <c r="C31" s="61"/>
      <c r="D31" s="68"/>
      <c r="E31" s="62" t="str">
        <f t="shared" ca="1" si="9"/>
        <v>3M</v>
      </c>
      <c r="F31" s="63">
        <v>46316</v>
      </c>
      <c r="G31" s="64">
        <v>-343</v>
      </c>
      <c r="H31" s="65" t="str">
        <f t="shared" ca="1" si="10"/>
        <v>3M</v>
      </c>
      <c r="I31" s="63">
        <v>46316</v>
      </c>
      <c r="J31" s="64">
        <v>-197.43</v>
      </c>
      <c r="K31" s="65" t="str">
        <f t="shared" ca="1" si="11"/>
        <v/>
      </c>
      <c r="L31" s="59"/>
      <c r="M31" s="60">
        <f t="shared" si="12"/>
        <v>-1.9743000000000002</v>
      </c>
      <c r="N31" s="1"/>
      <c r="O31" s="1"/>
      <c r="P31" s="1"/>
      <c r="Q31" s="1"/>
      <c r="R31" s="1"/>
    </row>
    <row r="32" spans="1:18" ht="16.5" customHeight="1">
      <c r="A32" s="67"/>
      <c r="B32" s="1"/>
      <c r="C32" s="61"/>
      <c r="D32" s="68"/>
      <c r="E32" s="62" t="str">
        <f t="shared" ca="1" si="9"/>
        <v>4M</v>
      </c>
      <c r="F32" s="63">
        <v>46349</v>
      </c>
      <c r="G32" s="64">
        <v>-493</v>
      </c>
      <c r="H32" s="65" t="str">
        <f t="shared" ca="1" si="10"/>
        <v>4M</v>
      </c>
      <c r="I32" s="63">
        <v>46349</v>
      </c>
      <c r="J32" s="64">
        <v>-240.9</v>
      </c>
      <c r="K32" s="65" t="str">
        <f t="shared" ca="1" si="11"/>
        <v/>
      </c>
      <c r="L32" s="59"/>
      <c r="M32" s="60">
        <f t="shared" si="12"/>
        <v>-2.4090000000000003</v>
      </c>
      <c r="N32" s="1"/>
      <c r="O32" s="1"/>
      <c r="P32" s="1"/>
      <c r="Q32" s="1"/>
      <c r="R32" s="1"/>
    </row>
    <row r="33" spans="1:18" ht="16.5" customHeight="1">
      <c r="A33" s="67"/>
      <c r="B33" s="1"/>
      <c r="C33" s="61"/>
      <c r="D33" s="68"/>
      <c r="E33" s="62" t="str">
        <f t="shared" ca="1" si="9"/>
        <v>5M</v>
      </c>
      <c r="F33" s="63">
        <v>46377</v>
      </c>
      <c r="G33" s="64">
        <v>-622</v>
      </c>
      <c r="H33" s="65" t="str">
        <f t="shared" ca="1" si="10"/>
        <v/>
      </c>
      <c r="I33" s="63"/>
      <c r="J33" s="66"/>
      <c r="K33" s="65" t="str">
        <f t="shared" ca="1" si="11"/>
        <v/>
      </c>
      <c r="L33" s="59"/>
      <c r="M33" s="60">
        <f t="shared" si="12"/>
        <v>0</v>
      </c>
      <c r="N33" s="1"/>
      <c r="O33" s="1"/>
      <c r="P33" s="1"/>
      <c r="Q33" s="1"/>
      <c r="R33" s="1"/>
    </row>
    <row r="34" spans="1:18" ht="16.5" customHeight="1">
      <c r="A34" s="67"/>
      <c r="B34" s="1"/>
      <c r="C34" s="61"/>
      <c r="D34" s="68"/>
      <c r="E34" s="62" t="str">
        <f t="shared" ca="1" si="9"/>
        <v>6M</v>
      </c>
      <c r="F34" s="63">
        <v>46408</v>
      </c>
      <c r="G34" s="64">
        <v>-775</v>
      </c>
      <c r="H34" s="65" t="str">
        <f t="shared" ca="1" si="10"/>
        <v/>
      </c>
      <c r="I34" s="63"/>
      <c r="J34" s="66"/>
      <c r="K34" s="65" t="str">
        <f t="shared" ca="1" si="11"/>
        <v/>
      </c>
      <c r="L34" s="59"/>
      <c r="M34" s="60">
        <f t="shared" si="12"/>
        <v>0</v>
      </c>
      <c r="N34" s="1"/>
      <c r="O34" s="1"/>
      <c r="P34" s="1"/>
      <c r="Q34" s="1"/>
      <c r="R34" s="1"/>
    </row>
    <row r="35" spans="1:18" ht="16.5" customHeight="1">
      <c r="A35" s="1"/>
      <c r="B35" s="1"/>
      <c r="C35" s="61"/>
      <c r="D35" s="68"/>
      <c r="E35" s="62"/>
      <c r="F35" s="63"/>
      <c r="G35" s="64"/>
      <c r="H35" s="65" t="str">
        <f t="shared" ca="1" si="10"/>
        <v/>
      </c>
      <c r="I35" s="63"/>
      <c r="J35" s="64"/>
      <c r="K35" s="65" t="str">
        <f t="shared" ca="1" si="11"/>
        <v/>
      </c>
      <c r="L35" s="59"/>
      <c r="M35" s="60">
        <f t="shared" si="12"/>
        <v>0</v>
      </c>
      <c r="N35" s="1"/>
      <c r="O35" s="1"/>
      <c r="P35" s="1"/>
      <c r="Q35" s="1"/>
      <c r="R35" s="1"/>
    </row>
    <row r="36" spans="1:18" ht="16.5" customHeight="1">
      <c r="A36" s="1"/>
      <c r="B36" s="1"/>
      <c r="C36" s="61"/>
      <c r="D36" s="1"/>
      <c r="E36" s="62" t="str">
        <f t="shared" ref="E36:E42" ca="1" si="13">IF(F36="","",ROUND((F36-TODAY())/30.4,0)&amp;"M")</f>
        <v/>
      </c>
      <c r="F36" s="63"/>
      <c r="G36" s="64"/>
      <c r="H36" s="65" t="str">
        <f t="shared" ca="1" si="10"/>
        <v/>
      </c>
      <c r="I36" s="63"/>
      <c r="J36" s="64"/>
      <c r="K36" s="65" t="str">
        <f t="shared" ca="1" si="11"/>
        <v/>
      </c>
      <c r="L36" s="59"/>
      <c r="M36" s="60">
        <f t="shared" si="12"/>
        <v>0</v>
      </c>
      <c r="N36" s="1"/>
      <c r="O36" s="1"/>
      <c r="P36" s="1"/>
      <c r="Q36" s="1"/>
      <c r="R36" s="1"/>
    </row>
    <row r="37" spans="1:18" ht="16.5" customHeight="1">
      <c r="A37" s="1"/>
      <c r="B37" s="1"/>
      <c r="C37" s="61"/>
      <c r="D37" s="1"/>
      <c r="E37" s="62" t="str">
        <f t="shared" ca="1" si="13"/>
        <v/>
      </c>
      <c r="F37" s="63"/>
      <c r="G37" s="64"/>
      <c r="H37" s="65" t="str">
        <f t="shared" ca="1" si="10"/>
        <v/>
      </c>
      <c r="I37" s="63"/>
      <c r="J37" s="64"/>
      <c r="K37" s="65" t="str">
        <f t="shared" ca="1" si="11"/>
        <v/>
      </c>
      <c r="L37" s="59"/>
      <c r="M37" s="60">
        <f t="shared" si="12"/>
        <v>0</v>
      </c>
      <c r="N37" s="1"/>
      <c r="O37" s="1"/>
      <c r="P37" s="1"/>
      <c r="Q37" s="1"/>
      <c r="R37" s="1"/>
    </row>
    <row r="38" spans="1:18" ht="16.5" customHeight="1">
      <c r="A38" s="1"/>
      <c r="B38" s="1"/>
      <c r="C38" s="61"/>
      <c r="D38" s="68"/>
      <c r="E38" s="62" t="str">
        <f t="shared" ca="1" si="13"/>
        <v/>
      </c>
      <c r="F38" s="63"/>
      <c r="G38" s="64"/>
      <c r="H38" s="65" t="str">
        <f t="shared" ca="1" si="10"/>
        <v/>
      </c>
      <c r="I38" s="63"/>
      <c r="J38" s="64"/>
      <c r="K38" s="65" t="str">
        <f t="shared" ca="1" si="11"/>
        <v/>
      </c>
      <c r="L38" s="59"/>
      <c r="M38" s="60">
        <f t="shared" si="12"/>
        <v>0</v>
      </c>
      <c r="N38" s="1"/>
      <c r="O38" s="1"/>
      <c r="P38" s="1"/>
      <c r="Q38" s="1"/>
      <c r="R38" s="1"/>
    </row>
    <row r="39" spans="1:18" ht="16.5" customHeight="1">
      <c r="A39" s="1"/>
      <c r="B39" s="1"/>
      <c r="C39" s="61"/>
      <c r="D39" s="68"/>
      <c r="E39" s="62" t="str">
        <f t="shared" ca="1" si="13"/>
        <v/>
      </c>
      <c r="F39" s="63"/>
      <c r="G39" s="64"/>
      <c r="H39" s="65" t="str">
        <f t="shared" ca="1" si="10"/>
        <v/>
      </c>
      <c r="I39" s="63"/>
      <c r="J39" s="64"/>
      <c r="K39" s="65" t="str">
        <f t="shared" ca="1" si="11"/>
        <v/>
      </c>
      <c r="L39" s="59"/>
      <c r="M39" s="60">
        <f t="shared" si="12"/>
        <v>0</v>
      </c>
      <c r="N39" s="1"/>
      <c r="O39" s="1"/>
      <c r="P39" s="1"/>
      <c r="Q39" s="1"/>
      <c r="R39" s="1"/>
    </row>
    <row r="40" spans="1:18" ht="16.5" customHeight="1">
      <c r="A40" s="1"/>
      <c r="B40" s="1"/>
      <c r="C40" s="61"/>
      <c r="D40" s="68"/>
      <c r="E40" s="62" t="str">
        <f t="shared" ca="1" si="13"/>
        <v/>
      </c>
      <c r="F40" s="63"/>
      <c r="G40" s="64"/>
      <c r="H40" s="65" t="str">
        <f t="shared" ca="1" si="10"/>
        <v/>
      </c>
      <c r="I40" s="63"/>
      <c r="J40" s="64"/>
      <c r="K40" s="65" t="str">
        <f t="shared" ca="1" si="11"/>
        <v/>
      </c>
      <c r="L40" s="59"/>
      <c r="M40" s="60">
        <f t="shared" si="12"/>
        <v>0</v>
      </c>
      <c r="N40" s="1"/>
      <c r="O40" s="1"/>
      <c r="P40" s="1"/>
      <c r="Q40" s="1"/>
      <c r="R40" s="1"/>
    </row>
    <row r="41" spans="1:18" ht="16.5" customHeight="1">
      <c r="A41" s="1"/>
      <c r="B41" s="1"/>
      <c r="C41" s="61"/>
      <c r="D41" s="68"/>
      <c r="E41" s="62" t="str">
        <f t="shared" ca="1" si="13"/>
        <v/>
      </c>
      <c r="F41" s="63"/>
      <c r="G41" s="64"/>
      <c r="H41" s="65" t="str">
        <f t="shared" ca="1" si="10"/>
        <v/>
      </c>
      <c r="I41" s="63"/>
      <c r="J41" s="64"/>
      <c r="K41" s="65" t="str">
        <f t="shared" ca="1" si="11"/>
        <v/>
      </c>
      <c r="L41" s="59"/>
      <c r="M41" s="60">
        <f t="shared" si="12"/>
        <v>0</v>
      </c>
      <c r="N41" s="1"/>
      <c r="O41" s="1"/>
      <c r="P41" s="1"/>
      <c r="Q41" s="1"/>
      <c r="R41" s="1"/>
    </row>
    <row r="42" spans="1:18" ht="17.25" customHeight="1">
      <c r="A42" s="1"/>
      <c r="B42" s="1"/>
      <c r="C42" s="61"/>
      <c r="D42" s="68"/>
      <c r="E42" s="69" t="str">
        <f t="shared" ca="1" si="13"/>
        <v/>
      </c>
      <c r="F42" s="70"/>
      <c r="G42" s="71"/>
      <c r="H42" s="72" t="str">
        <f t="shared" ca="1" si="10"/>
        <v/>
      </c>
      <c r="I42" s="70"/>
      <c r="J42" s="71"/>
      <c r="K42" s="72" t="str">
        <f t="shared" ca="1" si="11"/>
        <v/>
      </c>
      <c r="L42" s="59"/>
      <c r="M42" s="60">
        <f t="shared" si="12"/>
        <v>0</v>
      </c>
    </row>
    <row r="43" spans="1:18" ht="16.5" customHeight="1">
      <c r="A43" s="1"/>
      <c r="B43" s="1"/>
      <c r="C43" s="1"/>
      <c r="D43" s="1"/>
      <c r="E43" s="1"/>
      <c r="F43" s="73"/>
      <c r="G43" s="1"/>
      <c r="H43" s="1"/>
      <c r="I43" s="73"/>
      <c r="J43" s="1"/>
      <c r="K43" s="1"/>
    </row>
    <row r="44" spans="1:18" ht="16.5" customHeight="1">
      <c r="A44" s="1"/>
      <c r="B44" s="1"/>
      <c r="C44" s="1"/>
      <c r="D44" s="1"/>
      <c r="E44" s="1"/>
      <c r="F44" s="73"/>
      <c r="G44" s="1"/>
      <c r="H44" s="1"/>
      <c r="I44" s="73"/>
      <c r="J44" s="1"/>
      <c r="K44" s="1"/>
    </row>
    <row r="45" spans="1:18" ht="16.5" customHeight="1">
      <c r="F45" s="74"/>
      <c r="I45" s="74"/>
    </row>
    <row r="46" spans="1:18" ht="16.5" customHeight="1">
      <c r="F46" s="74"/>
      <c r="I46" s="74"/>
    </row>
  </sheetData>
  <mergeCells count="5">
    <mergeCell ref="C1:K1"/>
    <mergeCell ref="D3:E3"/>
    <mergeCell ref="C4:C15"/>
    <mergeCell ref="C17:C27"/>
    <mergeCell ref="C28:D28"/>
  </mergeCells>
  <phoneticPr fontId="24" type="noConversion"/>
  <conditionalFormatting sqref="D17:D27">
    <cfRule type="expression" dxfId="5" priority="4">
      <formula>AND($D17&lt;&gt;"",$D17&gt;EDATE(TODAY(),12))</formula>
    </cfRule>
  </conditionalFormatting>
  <conditionalFormatting sqref="F29:F42">
    <cfRule type="expression" dxfId="4" priority="5">
      <formula>AND($F29&lt;&gt;"",$F29&gt;EDATE(TODAY(),12))</formula>
    </cfRule>
  </conditionalFormatting>
  <conditionalFormatting sqref="I29:I32">
    <cfRule type="expression" dxfId="3" priority="3">
      <formula>AND($F29&lt;&gt;"",$F29&gt;EDATE(TODAY(),12))</formula>
    </cfRule>
  </conditionalFormatting>
  <conditionalFormatting sqref="K4:K15">
    <cfRule type="expression" dxfId="2" priority="6">
      <formula>LEFT($K4,1)="⚠"</formula>
    </cfRule>
  </conditionalFormatting>
  <conditionalFormatting sqref="K17:K27">
    <cfRule type="expression" dxfId="1" priority="7">
      <formula>LEFT($K17,1)="⚠"</formula>
    </cfRule>
  </conditionalFormatting>
  <conditionalFormatting sqref="L29:L42">
    <cfRule type="expression" dxfId="0" priority="2">
      <formula>AND($F29&lt;&gt;"",$F29&gt;EDATE(TODAY(),12))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통화설정!$A$2:$A$13</xm:f>
          </x14:formula1>
          <x14:formula2>
            <xm:f>0</xm:f>
          </x14:formula2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selection activeCell="G6" sqref="G6"/>
    </sheetView>
  </sheetViews>
  <sheetFormatPr defaultColWidth="8.5" defaultRowHeight="17"/>
  <cols>
    <col min="1" max="2" width="10" style="2" customWidth="1"/>
    <col min="3" max="3" width="11" style="2" customWidth="1"/>
    <col min="4" max="4" width="13" style="2" customWidth="1"/>
    <col min="5" max="5" width="9" style="2" customWidth="1"/>
    <col min="6" max="6" width="42" style="2" customWidth="1"/>
  </cols>
  <sheetData>
    <row r="1" spans="1:8" ht="16.5" customHeight="1">
      <c r="A1" s="75" t="s">
        <v>1</v>
      </c>
      <c r="B1" s="75" t="s">
        <v>15</v>
      </c>
      <c r="C1" s="75" t="s">
        <v>49</v>
      </c>
      <c r="D1" s="75" t="s">
        <v>50</v>
      </c>
      <c r="E1" s="75" t="s">
        <v>18</v>
      </c>
      <c r="F1" s="75" t="s">
        <v>12</v>
      </c>
      <c r="G1" s="76" t="s">
        <v>51</v>
      </c>
      <c r="H1" s="76" t="s">
        <v>52</v>
      </c>
    </row>
    <row r="2" spans="1:8" ht="16.5" customHeight="1">
      <c r="A2" t="s">
        <v>53</v>
      </c>
      <c r="B2" t="s">
        <v>54</v>
      </c>
      <c r="C2" t="s">
        <v>54</v>
      </c>
      <c r="D2" t="s">
        <v>54</v>
      </c>
      <c r="E2">
        <v>1</v>
      </c>
      <c r="F2" s="77" t="s">
        <v>55</v>
      </c>
      <c r="G2" s="78">
        <v>3.625</v>
      </c>
      <c r="H2" s="78">
        <v>2.5</v>
      </c>
    </row>
    <row r="3" spans="1:8" ht="16.5" customHeight="1">
      <c r="A3" t="s">
        <v>56</v>
      </c>
      <c r="B3" s="77" t="s">
        <v>57</v>
      </c>
      <c r="C3">
        <v>10000</v>
      </c>
      <c r="D3">
        <v>2</v>
      </c>
      <c r="E3">
        <v>1</v>
      </c>
      <c r="F3" t="s">
        <v>58</v>
      </c>
      <c r="G3" s="78">
        <v>1.4</v>
      </c>
    </row>
    <row r="4" spans="1:8" ht="16.5" customHeight="1">
      <c r="A4" t="s">
        <v>59</v>
      </c>
      <c r="B4" s="77" t="s">
        <v>57</v>
      </c>
      <c r="C4">
        <v>10000</v>
      </c>
      <c r="D4">
        <v>2</v>
      </c>
      <c r="E4">
        <v>1</v>
      </c>
      <c r="F4" t="s">
        <v>60</v>
      </c>
      <c r="G4" s="78">
        <v>1.4</v>
      </c>
    </row>
    <row r="5" spans="1:8" ht="16.5" customHeight="1">
      <c r="A5" t="s">
        <v>48</v>
      </c>
      <c r="B5" s="77" t="s">
        <v>57</v>
      </c>
      <c r="C5">
        <v>100</v>
      </c>
      <c r="D5">
        <v>4</v>
      </c>
      <c r="E5">
        <v>100</v>
      </c>
      <c r="F5" t="s">
        <v>61</v>
      </c>
      <c r="G5" s="78">
        <v>0.75</v>
      </c>
    </row>
    <row r="6" spans="1:8" ht="16.5" customHeight="1">
      <c r="A6" t="s">
        <v>2</v>
      </c>
      <c r="B6" s="77" t="s">
        <v>62</v>
      </c>
      <c r="C6">
        <v>10000</v>
      </c>
      <c r="D6">
        <v>2</v>
      </c>
      <c r="E6">
        <v>1</v>
      </c>
      <c r="F6" t="s">
        <v>63</v>
      </c>
      <c r="G6" s="78">
        <v>2</v>
      </c>
    </row>
    <row r="7" spans="1:8" ht="16.5" customHeight="1">
      <c r="A7" t="s">
        <v>64</v>
      </c>
      <c r="B7" s="77" t="s">
        <v>62</v>
      </c>
      <c r="C7">
        <v>10000</v>
      </c>
      <c r="D7">
        <v>2</v>
      </c>
      <c r="E7">
        <v>1</v>
      </c>
      <c r="F7" t="s">
        <v>65</v>
      </c>
      <c r="G7" s="78">
        <v>3.6</v>
      </c>
    </row>
    <row r="8" spans="1:8" ht="16.5" customHeight="1">
      <c r="A8" t="s">
        <v>66</v>
      </c>
      <c r="B8" s="77" t="s">
        <v>62</v>
      </c>
      <c r="C8">
        <v>10000</v>
      </c>
      <c r="D8">
        <v>2</v>
      </c>
      <c r="E8">
        <v>1</v>
      </c>
      <c r="F8" t="s">
        <v>67</v>
      </c>
      <c r="G8" s="78">
        <v>3.75</v>
      </c>
    </row>
    <row r="9" spans="1:8" ht="16.5" customHeight="1">
      <c r="A9" t="s">
        <v>68</v>
      </c>
      <c r="B9" s="77" t="s">
        <v>62</v>
      </c>
      <c r="C9">
        <v>10000</v>
      </c>
      <c r="D9">
        <v>2</v>
      </c>
      <c r="E9">
        <v>1</v>
      </c>
      <c r="F9" t="s">
        <v>69</v>
      </c>
      <c r="G9" s="78">
        <v>2.25</v>
      </c>
    </row>
    <row r="10" spans="1:8" ht="16.5" customHeight="1">
      <c r="A10" t="s">
        <v>70</v>
      </c>
      <c r="B10" s="77" t="s">
        <v>57</v>
      </c>
      <c r="C10">
        <v>10000</v>
      </c>
      <c r="D10">
        <v>2</v>
      </c>
      <c r="E10">
        <v>1</v>
      </c>
      <c r="F10" t="s">
        <v>71</v>
      </c>
      <c r="G10" s="78">
        <v>3.75</v>
      </c>
    </row>
    <row r="11" spans="1:8" ht="16.5" customHeight="1">
      <c r="A11" t="s">
        <v>72</v>
      </c>
      <c r="B11" s="77" t="s">
        <v>57</v>
      </c>
      <c r="C11">
        <v>10000</v>
      </c>
      <c r="D11">
        <v>2</v>
      </c>
      <c r="E11">
        <v>1</v>
      </c>
      <c r="F11" t="s">
        <v>73</v>
      </c>
      <c r="G11" s="78">
        <v>1.5</v>
      </c>
    </row>
    <row r="12" spans="1:8" ht="16.5" customHeight="1">
      <c r="A12" t="s">
        <v>74</v>
      </c>
      <c r="B12" s="77" t="s">
        <v>57</v>
      </c>
      <c r="C12">
        <v>10000</v>
      </c>
      <c r="D12">
        <v>2</v>
      </c>
      <c r="E12">
        <v>1</v>
      </c>
      <c r="F12" t="s">
        <v>75</v>
      </c>
      <c r="G12" s="78">
        <v>0</v>
      </c>
    </row>
    <row r="13" spans="1:8" ht="16.5" customHeight="1">
      <c r="A13" t="s">
        <v>76</v>
      </c>
      <c r="B13" s="77" t="s">
        <v>57</v>
      </c>
      <c r="C13">
        <v>10000</v>
      </c>
      <c r="D13">
        <v>2</v>
      </c>
      <c r="E13">
        <v>1</v>
      </c>
      <c r="F13" t="s">
        <v>77</v>
      </c>
      <c r="G13" s="78">
        <v>2.25</v>
      </c>
    </row>
    <row r="15" spans="1:8" ht="16.5" customHeight="1">
      <c r="A15" s="79" t="s">
        <v>78</v>
      </c>
      <c r="G15" s="80" t="s">
        <v>79</v>
      </c>
    </row>
    <row r="16" spans="1:8" ht="16.5" customHeight="1">
      <c r="A16" s="79" t="s">
        <v>80</v>
      </c>
    </row>
  </sheetData>
  <phoneticPr fontId="2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인디가격</vt:lpstr>
      <vt:lpstr>통화설정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2170480</dc:creator>
  <dc:description/>
  <cp:lastModifiedBy>선수 김</cp:lastModifiedBy>
  <cp:revision>0</cp:revision>
  <dcterms:created xsi:type="dcterms:W3CDTF">2026-07-06T00:03:51Z</dcterms:created>
  <dcterms:modified xsi:type="dcterms:W3CDTF">2026-07-17T13:39:31Z</dcterms:modified>
  <dc:language>en-US</dc:language>
</cp:coreProperties>
</file>